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bfbf4e9015443ec/Desktop/Template/Salary Slip/"/>
    </mc:Choice>
  </mc:AlternateContent>
  <xr:revisionPtr revIDLastSave="2" documentId="11_EB55C127C36A93E03A1D4F41097718BBBE098B4C" xr6:coauthVersionLast="47" xr6:coauthVersionMax="47" xr10:uidLastSave="{8392D8A6-6108-4BFE-913D-CCF9A3FBAEC6}"/>
  <bookViews>
    <workbookView xWindow="-110" yWindow="-110" windowWidth="19420" windowHeight="11020" xr2:uid="{00000000-000D-0000-FFFF-FFFF00000000}"/>
  </bookViews>
  <sheets>
    <sheet name="Setting" sheetId="1" r:id="rId1"/>
    <sheet name="Attendance" sheetId="2" r:id="rId2"/>
    <sheet name="Employee_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2" l="1"/>
  <c r="A106" i="2"/>
  <c r="B105" i="2"/>
  <c r="A105" i="2"/>
  <c r="B104" i="2"/>
  <c r="A104" i="2"/>
  <c r="B103" i="2"/>
  <c r="A103" i="2"/>
  <c r="AS102" i="2"/>
  <c r="AR102" i="2"/>
  <c r="AQ102" i="2"/>
  <c r="AP102" i="2"/>
  <c r="AO102" i="2"/>
  <c r="AN102" i="2"/>
  <c r="AM102" i="2"/>
  <c r="AL102" i="2"/>
  <c r="AK102" i="2"/>
  <c r="AJ102" i="2"/>
  <c r="AI102" i="2"/>
  <c r="B102" i="2"/>
  <c r="C102" i="2" s="1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B94" i="2"/>
  <c r="AI93" i="2"/>
  <c r="B93" i="2"/>
  <c r="A93" i="2"/>
  <c r="AS92" i="2"/>
  <c r="B92" i="2"/>
  <c r="A92" i="2"/>
  <c r="B91" i="2"/>
  <c r="A91" i="2"/>
  <c r="B90" i="2"/>
  <c r="A90" i="2"/>
  <c r="B89" i="2"/>
  <c r="B88" i="2"/>
  <c r="B87" i="2"/>
  <c r="B86" i="2"/>
  <c r="B85" i="2"/>
  <c r="B84" i="2"/>
  <c r="AS83" i="2"/>
  <c r="AR83" i="2"/>
  <c r="AQ83" i="2"/>
  <c r="AP83" i="2"/>
  <c r="AO83" i="2"/>
  <c r="B83" i="2"/>
  <c r="A83" i="2"/>
  <c r="B82" i="2"/>
  <c r="A82" i="2"/>
  <c r="B81" i="2"/>
  <c r="A81" i="2"/>
  <c r="B80" i="2"/>
  <c r="B79" i="2"/>
  <c r="B78" i="2"/>
  <c r="A78" i="2"/>
  <c r="B77" i="2"/>
  <c r="B76" i="2"/>
  <c r="B75" i="2"/>
  <c r="AS74" i="2"/>
  <c r="AR74" i="2"/>
  <c r="AQ74" i="2"/>
  <c r="AP74" i="2"/>
  <c r="AO74" i="2"/>
  <c r="AN74" i="2"/>
  <c r="AM74" i="2"/>
  <c r="AL74" i="2"/>
  <c r="AK74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B64" i="2"/>
  <c r="A64" i="2"/>
  <c r="B63" i="2"/>
  <c r="A63" i="2"/>
  <c r="B62" i="2"/>
  <c r="A62" i="2"/>
  <c r="B61" i="2"/>
  <c r="A61" i="2"/>
  <c r="B60" i="2"/>
  <c r="B59" i="2"/>
  <c r="B58" i="2"/>
  <c r="B57" i="2"/>
  <c r="B56" i="2"/>
  <c r="B55" i="2"/>
  <c r="B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B46" i="2"/>
  <c r="C45" i="2"/>
  <c r="B45" i="2"/>
  <c r="B44" i="2"/>
  <c r="B43" i="2"/>
  <c r="B42" i="2"/>
  <c r="B41" i="2"/>
  <c r="B40" i="2"/>
  <c r="B39" i="2"/>
  <c r="A39" i="2"/>
  <c r="B38" i="2"/>
  <c r="AS37" i="2"/>
  <c r="AR37" i="2"/>
  <c r="AQ37" i="2"/>
  <c r="AP37" i="2"/>
  <c r="AO37" i="2"/>
  <c r="AN37" i="2"/>
  <c r="AM37" i="2"/>
  <c r="AL37" i="2"/>
  <c r="AK37" i="2"/>
  <c r="AJ37" i="2"/>
  <c r="AI37" i="2"/>
  <c r="B37" i="2"/>
  <c r="C37" i="2" s="1"/>
  <c r="A37" i="2"/>
  <c r="B36" i="2"/>
  <c r="A36" i="2"/>
  <c r="B35" i="2"/>
  <c r="A35" i="2"/>
  <c r="B34" i="2"/>
  <c r="A34" i="2"/>
  <c r="B33" i="2"/>
  <c r="A33" i="2"/>
  <c r="B32" i="2"/>
  <c r="B31" i="2"/>
  <c r="B30" i="2"/>
  <c r="A30" i="2"/>
  <c r="B29" i="2"/>
  <c r="B28" i="2"/>
  <c r="AS27" i="2"/>
  <c r="B27" i="2"/>
  <c r="A27" i="2"/>
  <c r="B26" i="2"/>
  <c r="A26" i="2"/>
  <c r="B25" i="2"/>
  <c r="A25" i="2"/>
  <c r="B24" i="2"/>
  <c r="A24" i="2"/>
  <c r="B23" i="2"/>
  <c r="B22" i="2"/>
  <c r="B21" i="2"/>
  <c r="B20" i="2"/>
  <c r="B19" i="2"/>
  <c r="B18" i="2"/>
  <c r="B17" i="2"/>
  <c r="B16" i="2"/>
  <c r="B15" i="2"/>
  <c r="AJ14" i="2"/>
  <c r="B14" i="2"/>
  <c r="B13" i="2"/>
  <c r="B12" i="2"/>
  <c r="B11" i="2"/>
  <c r="A11" i="2"/>
  <c r="B10" i="2"/>
  <c r="B9" i="2"/>
  <c r="A9" i="2"/>
  <c r="B8" i="2"/>
  <c r="B7" i="2"/>
  <c r="A1" i="2"/>
  <c r="B7" i="1"/>
  <c r="B6" i="1"/>
  <c r="AS106" i="2" l="1"/>
  <c r="AR106" i="2"/>
  <c r="AQ106" i="2"/>
  <c r="AP106" i="2"/>
  <c r="AO106" i="2"/>
  <c r="AN106" i="2"/>
  <c r="AM106" i="2"/>
  <c r="AL106" i="2"/>
  <c r="AK106" i="2"/>
  <c r="AJ106" i="2"/>
  <c r="AI106" i="2"/>
  <c r="C106" i="2"/>
  <c r="AS105" i="2"/>
  <c r="AR105" i="2"/>
  <c r="AQ105" i="2"/>
  <c r="AP105" i="2"/>
  <c r="AO105" i="2"/>
  <c r="AN105" i="2"/>
  <c r="AM105" i="2"/>
  <c r="AL105" i="2"/>
  <c r="AK105" i="2"/>
  <c r="AJ105" i="2"/>
  <c r="AI105" i="2"/>
  <c r="C105" i="2"/>
  <c r="AS104" i="2"/>
  <c r="AR104" i="2"/>
  <c r="AQ104" i="2"/>
  <c r="AP104" i="2"/>
  <c r="AO104" i="2"/>
  <c r="AN104" i="2"/>
  <c r="AM104" i="2"/>
  <c r="AL104" i="2"/>
  <c r="AK104" i="2"/>
  <c r="AJ104" i="2"/>
  <c r="AI104" i="2"/>
  <c r="C104" i="2"/>
  <c r="AS103" i="2"/>
  <c r="AR103" i="2"/>
  <c r="AQ103" i="2"/>
  <c r="AP103" i="2"/>
  <c r="AO103" i="2"/>
  <c r="AN103" i="2"/>
  <c r="AM103" i="2"/>
  <c r="AL103" i="2"/>
  <c r="AK103" i="2"/>
  <c r="AJ103" i="2"/>
  <c r="AI103" i="2"/>
  <c r="C103" i="2"/>
  <c r="AP101" i="2"/>
  <c r="AS101" i="2"/>
  <c r="AR101" i="2"/>
  <c r="AQ101" i="2"/>
  <c r="AO101" i="2"/>
  <c r="AN101" i="2"/>
  <c r="AM101" i="2"/>
  <c r="AL101" i="2"/>
  <c r="AK101" i="2"/>
  <c r="AJ101" i="2"/>
  <c r="AI101" i="2"/>
  <c r="C101" i="2"/>
  <c r="AR100" i="2"/>
  <c r="AQ100" i="2"/>
  <c r="AP100" i="2"/>
  <c r="AO100" i="2"/>
  <c r="AN100" i="2"/>
  <c r="AM100" i="2"/>
  <c r="AK100" i="2"/>
  <c r="AJ100" i="2"/>
  <c r="AI100" i="2"/>
  <c r="C100" i="2"/>
  <c r="AL100" i="2"/>
  <c r="AS100" i="2"/>
  <c r="AI99" i="2"/>
  <c r="AJ99" i="2"/>
  <c r="AK99" i="2"/>
  <c r="AL99" i="2"/>
  <c r="AM99" i="2"/>
  <c r="AN99" i="2"/>
  <c r="AO99" i="2"/>
  <c r="AP99" i="2"/>
  <c r="AQ99" i="2"/>
  <c r="AR99" i="2"/>
  <c r="AS99" i="2"/>
  <c r="C99" i="2"/>
  <c r="AS98" i="2"/>
  <c r="AR98" i="2"/>
  <c r="AQ98" i="2"/>
  <c r="AP98" i="2"/>
  <c r="AO98" i="2"/>
  <c r="AN98" i="2"/>
  <c r="AM98" i="2"/>
  <c r="AL98" i="2"/>
  <c r="AK98" i="2"/>
  <c r="AJ98" i="2"/>
  <c r="AI98" i="2"/>
  <c r="C98" i="2"/>
  <c r="AP97" i="2"/>
  <c r="AN97" i="2"/>
  <c r="AM97" i="2"/>
  <c r="AL97" i="2"/>
  <c r="AK97" i="2"/>
  <c r="AJ97" i="2"/>
  <c r="AI97" i="2"/>
  <c r="C97" i="2"/>
  <c r="AO97" i="2"/>
  <c r="AS97" i="2"/>
  <c r="AR97" i="2"/>
  <c r="AQ97" i="2"/>
  <c r="AK96" i="2"/>
  <c r="AL96" i="2"/>
  <c r="AM96" i="2"/>
  <c r="AN96" i="2"/>
  <c r="AO96" i="2"/>
  <c r="AP96" i="2"/>
  <c r="AQ96" i="2"/>
  <c r="AR96" i="2"/>
  <c r="AS96" i="2"/>
  <c r="C96" i="2"/>
  <c r="AI96" i="2"/>
  <c r="AJ96" i="2"/>
  <c r="C95" i="2"/>
  <c r="AR95" i="2"/>
  <c r="AI95" i="2"/>
  <c r="A95" i="2"/>
  <c r="AJ95" i="2"/>
  <c r="AL95" i="2"/>
  <c r="AN95" i="2"/>
  <c r="AP95" i="2"/>
  <c r="AQ95" i="2"/>
  <c r="AK95" i="2"/>
  <c r="AM95" i="2"/>
  <c r="AO95" i="2"/>
  <c r="AS95" i="2"/>
  <c r="AN94" i="2"/>
  <c r="AM94" i="2"/>
  <c r="AL94" i="2"/>
  <c r="AK94" i="2"/>
  <c r="AJ94" i="2"/>
  <c r="AO94" i="2"/>
  <c r="AR94" i="2"/>
  <c r="AS94" i="2"/>
  <c r="AI94" i="2"/>
  <c r="AQ94" i="2"/>
  <c r="A94" i="2"/>
  <c r="C94" i="2"/>
  <c r="AP94" i="2"/>
  <c r="C93" i="2"/>
  <c r="AJ93" i="2"/>
  <c r="AN93" i="2"/>
  <c r="AS93" i="2"/>
  <c r="AR93" i="2"/>
  <c r="AQ93" i="2"/>
  <c r="AK93" i="2"/>
  <c r="AM93" i="2"/>
  <c r="AO93" i="2"/>
  <c r="AL93" i="2"/>
  <c r="AP93" i="2"/>
  <c r="AM92" i="2"/>
  <c r="AK92" i="2"/>
  <c r="AJ92" i="2"/>
  <c r="AI92" i="2"/>
  <c r="AP92" i="2"/>
  <c r="C92" i="2"/>
  <c r="AQ92" i="2"/>
  <c r="AO92" i="2"/>
  <c r="AR92" i="2"/>
  <c r="AL92" i="2"/>
  <c r="AN92" i="2"/>
  <c r="AQ91" i="2"/>
  <c r="AP91" i="2"/>
  <c r="AO91" i="2"/>
  <c r="AN91" i="2"/>
  <c r="AM91" i="2"/>
  <c r="AL91" i="2"/>
  <c r="AK91" i="2"/>
  <c r="AJ91" i="2"/>
  <c r="AI91" i="2"/>
  <c r="C91" i="2"/>
  <c r="AS91" i="2"/>
  <c r="AR91" i="2"/>
  <c r="AN90" i="2"/>
  <c r="AO90" i="2"/>
  <c r="AP90" i="2"/>
  <c r="AQ90" i="2"/>
  <c r="AR90" i="2"/>
  <c r="AS90" i="2"/>
  <c r="AJ90" i="2"/>
  <c r="C90" i="2"/>
  <c r="AI90" i="2"/>
  <c r="AK90" i="2"/>
  <c r="AL90" i="2"/>
  <c r="AM90" i="2"/>
  <c r="AM89" i="2"/>
  <c r="AN89" i="2"/>
  <c r="AO89" i="2"/>
  <c r="AP89" i="2"/>
  <c r="AQ89" i="2"/>
  <c r="AR89" i="2"/>
  <c r="AS89" i="2"/>
  <c r="A89" i="2"/>
  <c r="AL89" i="2"/>
  <c r="AK89" i="2"/>
  <c r="AJ89" i="2"/>
  <c r="AI89" i="2"/>
  <c r="C89" i="2"/>
  <c r="AP88" i="2"/>
  <c r="AN88" i="2"/>
  <c r="AL88" i="2"/>
  <c r="AJ88" i="2"/>
  <c r="C88" i="2"/>
  <c r="A88" i="2"/>
  <c r="AS88" i="2"/>
  <c r="AR88" i="2"/>
  <c r="AI88" i="2"/>
  <c r="AK88" i="2"/>
  <c r="AM88" i="2"/>
  <c r="AO88" i="2"/>
  <c r="AQ88" i="2"/>
  <c r="AP87" i="2"/>
  <c r="AR87" i="2"/>
  <c r="AL87" i="2"/>
  <c r="AN87" i="2"/>
  <c r="A87" i="2"/>
  <c r="C87" i="2"/>
  <c r="AJ87" i="2"/>
  <c r="AQ87" i="2"/>
  <c r="AI87" i="2"/>
  <c r="AK87" i="2"/>
  <c r="AM87" i="2"/>
  <c r="AO87" i="2"/>
  <c r="AS87" i="2"/>
  <c r="C86" i="2"/>
  <c r="AJ86" i="2"/>
  <c r="AL86" i="2"/>
  <c r="A86" i="2"/>
  <c r="AN86" i="2"/>
  <c r="AR86" i="2"/>
  <c r="AS86" i="2"/>
  <c r="AP86" i="2"/>
  <c r="AI86" i="2"/>
  <c r="AK86" i="2"/>
  <c r="AM86" i="2"/>
  <c r="AO86" i="2"/>
  <c r="AQ86" i="2"/>
  <c r="AQ85" i="2"/>
  <c r="AO85" i="2"/>
  <c r="AM85" i="2"/>
  <c r="AJ85" i="2"/>
  <c r="C85" i="2"/>
  <c r="A85" i="2"/>
  <c r="AR85" i="2"/>
  <c r="AS85" i="2"/>
  <c r="AL85" i="2"/>
  <c r="AI85" i="2"/>
  <c r="AK85" i="2"/>
  <c r="AN85" i="2"/>
  <c r="AP85" i="2"/>
  <c r="AS84" i="2"/>
  <c r="AQ84" i="2"/>
  <c r="AO84" i="2"/>
  <c r="AM84" i="2"/>
  <c r="AK84" i="2"/>
  <c r="AI84" i="2"/>
  <c r="C84" i="2"/>
  <c r="A84" i="2"/>
  <c r="AR84" i="2"/>
  <c r="AP84" i="2"/>
  <c r="AN84" i="2"/>
  <c r="AL84" i="2"/>
  <c r="AJ84" i="2"/>
  <c r="AN83" i="2"/>
  <c r="C83" i="2"/>
  <c r="AL83" i="2"/>
  <c r="AK83" i="2"/>
  <c r="AM83" i="2"/>
  <c r="AJ83" i="2"/>
  <c r="AI83" i="2"/>
  <c r="AS82" i="2"/>
  <c r="AI82" i="2"/>
  <c r="AO82" i="2"/>
  <c r="C82" i="2"/>
  <c r="AJ82" i="2"/>
  <c r="AK82" i="2"/>
  <c r="AL82" i="2"/>
  <c r="AM82" i="2"/>
  <c r="AN82" i="2"/>
  <c r="AP82" i="2"/>
  <c r="AQ82" i="2"/>
  <c r="AR82" i="2"/>
  <c r="C81" i="2"/>
  <c r="AO81" i="2"/>
  <c r="AS81" i="2"/>
  <c r="AQ81" i="2"/>
  <c r="AN81" i="2"/>
  <c r="AP81" i="2"/>
  <c r="AK81" i="2"/>
  <c r="AM81" i="2"/>
  <c r="AL81" i="2"/>
  <c r="AJ81" i="2"/>
  <c r="AI81" i="2"/>
  <c r="AR81" i="2"/>
  <c r="A80" i="2"/>
  <c r="AI80" i="2"/>
  <c r="C80" i="2"/>
  <c r="AS80" i="2"/>
  <c r="AR80" i="2"/>
  <c r="AQ80" i="2"/>
  <c r="AP80" i="2"/>
  <c r="AO80" i="2"/>
  <c r="AN80" i="2"/>
  <c r="AM80" i="2"/>
  <c r="AL80" i="2"/>
  <c r="AK80" i="2"/>
  <c r="AJ80" i="2"/>
  <c r="AP79" i="2"/>
  <c r="AN79" i="2"/>
  <c r="AR79" i="2"/>
  <c r="A79" i="2"/>
  <c r="C79" i="2"/>
  <c r="AJ79" i="2"/>
  <c r="AS79" i="2"/>
  <c r="AI79" i="2"/>
  <c r="AK79" i="2"/>
  <c r="AM79" i="2"/>
  <c r="AO79" i="2"/>
  <c r="AQ79" i="2"/>
  <c r="AL79" i="2"/>
  <c r="C78" i="2"/>
  <c r="AI78" i="2"/>
  <c r="AK78" i="2"/>
  <c r="AS78" i="2"/>
  <c r="AR78" i="2"/>
  <c r="AQ78" i="2"/>
  <c r="AP78" i="2"/>
  <c r="AO78" i="2"/>
  <c r="AN78" i="2"/>
  <c r="AM78" i="2"/>
  <c r="AL78" i="2"/>
  <c r="AJ78" i="2"/>
  <c r="AS77" i="2"/>
  <c r="AI77" i="2"/>
  <c r="AJ77" i="2"/>
  <c r="AK77" i="2"/>
  <c r="AM77" i="2"/>
  <c r="AN77" i="2"/>
  <c r="AO77" i="2"/>
  <c r="AP77" i="2"/>
  <c r="AL77" i="2"/>
  <c r="AQ77" i="2"/>
  <c r="A77" i="2"/>
  <c r="C77" i="2"/>
  <c r="AR77" i="2"/>
  <c r="AJ76" i="2"/>
  <c r="AL76" i="2"/>
  <c r="AM76" i="2"/>
  <c r="AP76" i="2"/>
  <c r="AQ76" i="2"/>
  <c r="AR76" i="2"/>
  <c r="AN76" i="2"/>
  <c r="AK76" i="2"/>
  <c r="AI76" i="2"/>
  <c r="AS76" i="2"/>
  <c r="AO76" i="2"/>
  <c r="A76" i="2"/>
  <c r="C76" i="2"/>
  <c r="AN75" i="2"/>
  <c r="AK75" i="2"/>
  <c r="AI75" i="2"/>
  <c r="AS75" i="2"/>
  <c r="AR75" i="2"/>
  <c r="AQ75" i="2"/>
  <c r="AP75" i="2"/>
  <c r="AM75" i="2"/>
  <c r="AL75" i="2"/>
  <c r="AJ75" i="2"/>
  <c r="C75" i="2"/>
  <c r="A75" i="2"/>
  <c r="AO75" i="2"/>
  <c r="C74" i="2"/>
  <c r="AJ74" i="2"/>
  <c r="AI74" i="2"/>
  <c r="AJ73" i="2"/>
  <c r="AI73" i="2"/>
  <c r="C73" i="2"/>
  <c r="AS73" i="2"/>
  <c r="AR73" i="2"/>
  <c r="AQ73" i="2"/>
  <c r="AP73" i="2"/>
  <c r="AO73" i="2"/>
  <c r="AN73" i="2"/>
  <c r="AM73" i="2"/>
  <c r="AL73" i="2"/>
  <c r="AK73" i="2"/>
  <c r="AM72" i="2"/>
  <c r="AL72" i="2"/>
  <c r="AK72" i="2"/>
  <c r="AJ72" i="2"/>
  <c r="C72" i="2"/>
  <c r="AI72" i="2"/>
  <c r="AS72" i="2"/>
  <c r="AR72" i="2"/>
  <c r="AQ72" i="2"/>
  <c r="AP72" i="2"/>
  <c r="AO72" i="2"/>
  <c r="AN72" i="2"/>
  <c r="AK71" i="2"/>
  <c r="AL71" i="2"/>
  <c r="AM71" i="2"/>
  <c r="AN71" i="2"/>
  <c r="AO71" i="2"/>
  <c r="AP71" i="2"/>
  <c r="AQ71" i="2"/>
  <c r="AR71" i="2"/>
  <c r="AS71" i="2"/>
  <c r="AJ71" i="2"/>
  <c r="AI71" i="2"/>
  <c r="C71" i="2"/>
  <c r="AQ70" i="2"/>
  <c r="AJ70" i="2"/>
  <c r="AI70" i="2"/>
  <c r="C70" i="2"/>
  <c r="AS70" i="2"/>
  <c r="AR70" i="2"/>
  <c r="AP70" i="2"/>
  <c r="AO70" i="2"/>
  <c r="AN70" i="2"/>
  <c r="AM70" i="2"/>
  <c r="AL70" i="2"/>
  <c r="AK70" i="2"/>
  <c r="C69" i="2"/>
  <c r="AI69" i="2"/>
  <c r="AJ69" i="2"/>
  <c r="AK69" i="2"/>
  <c r="AL69" i="2"/>
  <c r="AP69" i="2"/>
  <c r="AM69" i="2"/>
  <c r="AN69" i="2"/>
  <c r="AO69" i="2"/>
  <c r="AQ69" i="2"/>
  <c r="AR69" i="2"/>
  <c r="AS69" i="2"/>
  <c r="AS68" i="2"/>
  <c r="AR68" i="2"/>
  <c r="AQ68" i="2"/>
  <c r="AP68" i="2"/>
  <c r="AO68" i="2"/>
  <c r="AN68" i="2"/>
  <c r="AM68" i="2"/>
  <c r="AL68" i="2"/>
  <c r="AK68" i="2"/>
  <c r="AJ68" i="2"/>
  <c r="AI68" i="2"/>
  <c r="C68" i="2"/>
  <c r="AO67" i="2"/>
  <c r="AN67" i="2"/>
  <c r="C67" i="2"/>
  <c r="AI67" i="2"/>
  <c r="AJ67" i="2"/>
  <c r="AK67" i="2"/>
  <c r="AM67" i="2"/>
  <c r="AL67" i="2"/>
  <c r="AS67" i="2"/>
  <c r="AR67" i="2"/>
  <c r="AQ67" i="2"/>
  <c r="AP67" i="2"/>
  <c r="AR66" i="2"/>
  <c r="AS66" i="2"/>
  <c r="C66" i="2"/>
  <c r="AI66" i="2"/>
  <c r="AJ66" i="2"/>
  <c r="AL66" i="2"/>
  <c r="AK66" i="2"/>
  <c r="AM66" i="2"/>
  <c r="AN66" i="2"/>
  <c r="AO66" i="2"/>
  <c r="AP66" i="2"/>
  <c r="AQ66" i="2"/>
  <c r="AO65" i="2"/>
  <c r="AL65" i="2"/>
  <c r="AK65" i="2"/>
  <c r="A65" i="2"/>
  <c r="C65" i="2"/>
  <c r="AI65" i="2"/>
  <c r="AJ65" i="2"/>
  <c r="AM65" i="2"/>
  <c r="AN65" i="2"/>
  <c r="AP65" i="2"/>
  <c r="AQ65" i="2"/>
  <c r="AR65" i="2"/>
  <c r="AS65" i="2"/>
  <c r="AQ64" i="2"/>
  <c r="AO64" i="2"/>
  <c r="AN64" i="2"/>
  <c r="AM64" i="2"/>
  <c r="AL64" i="2"/>
  <c r="AK64" i="2"/>
  <c r="AJ64" i="2"/>
  <c r="AS64" i="2"/>
  <c r="AI64" i="2"/>
  <c r="C64" i="2"/>
  <c r="AR64" i="2"/>
  <c r="AP64" i="2"/>
  <c r="AS63" i="2"/>
  <c r="AR63" i="2"/>
  <c r="AQ63" i="2"/>
  <c r="AP63" i="2"/>
  <c r="AO63" i="2"/>
  <c r="AL63" i="2"/>
  <c r="AK63" i="2"/>
  <c r="AJ63" i="2"/>
  <c r="AI63" i="2"/>
  <c r="C63" i="2"/>
  <c r="AN63" i="2"/>
  <c r="AM63" i="2"/>
  <c r="AM62" i="2"/>
  <c r="AN62" i="2"/>
  <c r="AO62" i="2"/>
  <c r="AP62" i="2"/>
  <c r="AQ62" i="2"/>
  <c r="AR62" i="2"/>
  <c r="AL62" i="2"/>
  <c r="C62" i="2"/>
  <c r="AS62" i="2"/>
  <c r="AI62" i="2"/>
  <c r="AJ62" i="2"/>
  <c r="AK62" i="2"/>
  <c r="AI61" i="2"/>
  <c r="AJ61" i="2"/>
  <c r="AK61" i="2"/>
  <c r="AM61" i="2"/>
  <c r="AN61" i="2"/>
  <c r="AO61" i="2"/>
  <c r="AP61" i="2"/>
  <c r="AQ61" i="2"/>
  <c r="AR61" i="2"/>
  <c r="AS61" i="2"/>
  <c r="AL61" i="2"/>
  <c r="C61" i="2"/>
  <c r="AK60" i="2"/>
  <c r="AI60" i="2"/>
  <c r="AP60" i="2"/>
  <c r="AQ60" i="2"/>
  <c r="AR60" i="2"/>
  <c r="AS60" i="2"/>
  <c r="AL60" i="2"/>
  <c r="AN60" i="2"/>
  <c r="AJ60" i="2"/>
  <c r="AM60" i="2"/>
  <c r="A60" i="2"/>
  <c r="C60" i="2"/>
  <c r="AO60" i="2"/>
  <c r="AS59" i="2"/>
  <c r="AR59" i="2"/>
  <c r="AQ59" i="2"/>
  <c r="AP59" i="2"/>
  <c r="AO59" i="2"/>
  <c r="AN59" i="2"/>
  <c r="AL59" i="2"/>
  <c r="AK59" i="2"/>
  <c r="C59" i="2"/>
  <c r="A59" i="2"/>
  <c r="AI59" i="2"/>
  <c r="AJ59" i="2"/>
  <c r="AM59" i="2"/>
  <c r="AS58" i="2"/>
  <c r="AR58" i="2"/>
  <c r="AP58" i="2"/>
  <c r="AO58" i="2"/>
  <c r="AM58" i="2"/>
  <c r="AK58" i="2"/>
  <c r="AI58" i="2"/>
  <c r="C58" i="2"/>
  <c r="A58" i="2"/>
  <c r="AJ58" i="2"/>
  <c r="AL58" i="2"/>
  <c r="AN58" i="2"/>
  <c r="AQ58" i="2"/>
  <c r="AS57" i="2"/>
  <c r="AR57" i="2"/>
  <c r="AQ57" i="2"/>
  <c r="AP57" i="2"/>
  <c r="AO57" i="2"/>
  <c r="AM57" i="2"/>
  <c r="A57" i="2"/>
  <c r="AK57" i="2"/>
  <c r="AL57" i="2"/>
  <c r="AN57" i="2"/>
  <c r="C57" i="2"/>
  <c r="AI57" i="2"/>
  <c r="AJ57" i="2"/>
  <c r="AR56" i="2"/>
  <c r="AQ56" i="2"/>
  <c r="AP56" i="2"/>
  <c r="AO56" i="2"/>
  <c r="AN56" i="2"/>
  <c r="AM56" i="2"/>
  <c r="AL56" i="2"/>
  <c r="AK56" i="2"/>
  <c r="AJ56" i="2"/>
  <c r="AI56" i="2"/>
  <c r="C56" i="2"/>
  <c r="AS56" i="2"/>
  <c r="A56" i="2"/>
  <c r="AN55" i="2"/>
  <c r="AM55" i="2"/>
  <c r="AK55" i="2"/>
  <c r="AJ55" i="2"/>
  <c r="C55" i="2"/>
  <c r="A55" i="2"/>
  <c r="AR55" i="2"/>
  <c r="AQ55" i="2"/>
  <c r="AI55" i="2"/>
  <c r="AL55" i="2"/>
  <c r="AO55" i="2"/>
  <c r="AS55" i="2"/>
  <c r="AP55" i="2"/>
  <c r="AS54" i="2"/>
  <c r="AR54" i="2"/>
  <c r="AP54" i="2"/>
  <c r="AN54" i="2"/>
  <c r="AM54" i="2"/>
  <c r="AL54" i="2"/>
  <c r="AK54" i="2"/>
  <c r="AJ54" i="2"/>
  <c r="AI54" i="2"/>
  <c r="C54" i="2"/>
  <c r="AO54" i="2"/>
  <c r="AQ54" i="2"/>
  <c r="A54" i="2"/>
  <c r="AI53" i="2"/>
  <c r="AJ53" i="2"/>
  <c r="AL53" i="2"/>
  <c r="AN53" i="2"/>
  <c r="AO53" i="2"/>
  <c r="AP53" i="2"/>
  <c r="AQ53" i="2"/>
  <c r="AR53" i="2"/>
  <c r="AS53" i="2"/>
  <c r="AK53" i="2"/>
  <c r="AM53" i="2"/>
  <c r="C53" i="2"/>
  <c r="AQ52" i="2"/>
  <c r="AP52" i="2"/>
  <c r="AO52" i="2"/>
  <c r="AN52" i="2"/>
  <c r="AM52" i="2"/>
  <c r="AL52" i="2"/>
  <c r="AK52" i="2"/>
  <c r="AR52" i="2"/>
  <c r="AS52" i="2"/>
  <c r="C52" i="2"/>
  <c r="AI52" i="2"/>
  <c r="AJ52" i="2"/>
  <c r="AM51" i="2"/>
  <c r="AR51" i="2"/>
  <c r="AL51" i="2"/>
  <c r="AK51" i="2"/>
  <c r="AS51" i="2"/>
  <c r="AJ51" i="2"/>
  <c r="AI51" i="2"/>
  <c r="C51" i="2"/>
  <c r="AQ51" i="2"/>
  <c r="AP51" i="2"/>
  <c r="AO51" i="2"/>
  <c r="AN51" i="2"/>
  <c r="AM50" i="2"/>
  <c r="C50" i="2"/>
  <c r="AK50" i="2"/>
  <c r="AL50" i="2"/>
  <c r="AJ50" i="2"/>
  <c r="AI50" i="2"/>
  <c r="AS50" i="2"/>
  <c r="AR50" i="2"/>
  <c r="AQ50" i="2"/>
  <c r="AP50" i="2"/>
  <c r="AO50" i="2"/>
  <c r="AN50" i="2"/>
  <c r="AS49" i="2"/>
  <c r="AL49" i="2"/>
  <c r="AK49" i="2"/>
  <c r="AJ49" i="2"/>
  <c r="AR49" i="2"/>
  <c r="AI49" i="2"/>
  <c r="C49" i="2"/>
  <c r="AQ49" i="2"/>
  <c r="AP49" i="2"/>
  <c r="AO49" i="2"/>
  <c r="AN49" i="2"/>
  <c r="AM49" i="2"/>
  <c r="AM48" i="2"/>
  <c r="AL48" i="2"/>
  <c r="AK48" i="2"/>
  <c r="AI48" i="2"/>
  <c r="C48" i="2"/>
  <c r="AS48" i="2"/>
  <c r="AJ48" i="2"/>
  <c r="AR48" i="2"/>
  <c r="AQ48" i="2"/>
  <c r="AP48" i="2"/>
  <c r="AO48" i="2"/>
  <c r="AN48" i="2"/>
  <c r="AN47" i="2"/>
  <c r="AM47" i="2"/>
  <c r="AL47" i="2"/>
  <c r="AK47" i="2"/>
  <c r="AJ47" i="2"/>
  <c r="AI47" i="2"/>
  <c r="A47" i="2"/>
  <c r="AS47" i="2"/>
  <c r="AR47" i="2"/>
  <c r="AQ47" i="2"/>
  <c r="AP47" i="2"/>
  <c r="AO47" i="2"/>
  <c r="C47" i="2"/>
  <c r="AM46" i="2"/>
  <c r="AK46" i="2"/>
  <c r="AI46" i="2"/>
  <c r="A46" i="2"/>
  <c r="AJ46" i="2"/>
  <c r="C46" i="2"/>
  <c r="AR46" i="2"/>
  <c r="AS46" i="2"/>
  <c r="AN46" i="2"/>
  <c r="AQ46" i="2"/>
  <c r="AP46" i="2"/>
  <c r="AO46" i="2"/>
  <c r="AL46" i="2"/>
  <c r="AR45" i="2"/>
  <c r="AL45" i="2"/>
  <c r="AO45" i="2"/>
  <c r="AP45" i="2"/>
  <c r="AQ45" i="2"/>
  <c r="AS45" i="2"/>
  <c r="AI45" i="2"/>
  <c r="AJ45" i="2"/>
  <c r="AK45" i="2"/>
  <c r="A45" i="2"/>
  <c r="AM45" i="2"/>
  <c r="AN45" i="2"/>
  <c r="AS44" i="2"/>
  <c r="C44" i="2"/>
  <c r="A44" i="2"/>
  <c r="AK44" i="2"/>
  <c r="AL44" i="2"/>
  <c r="AM44" i="2"/>
  <c r="AN44" i="2"/>
  <c r="AO44" i="2"/>
  <c r="AP44" i="2"/>
  <c r="AI44" i="2"/>
  <c r="AQ44" i="2"/>
  <c r="AR44" i="2"/>
  <c r="AJ44" i="2"/>
  <c r="AP43" i="2"/>
  <c r="AK43" i="2"/>
  <c r="AJ43" i="2"/>
  <c r="C43" i="2"/>
  <c r="AM43" i="2"/>
  <c r="AS43" i="2"/>
  <c r="AI43" i="2"/>
  <c r="A43" i="2"/>
  <c r="AL43" i="2"/>
  <c r="AN43" i="2"/>
  <c r="AO43" i="2"/>
  <c r="AQ43" i="2"/>
  <c r="AR43" i="2"/>
  <c r="AK42" i="2"/>
  <c r="AQ42" i="2"/>
  <c r="AO42" i="2"/>
  <c r="AN42" i="2"/>
  <c r="C42" i="2"/>
  <c r="AL42" i="2"/>
  <c r="AJ42" i="2"/>
  <c r="AS42" i="2"/>
  <c r="A42" i="2"/>
  <c r="AI42" i="2"/>
  <c r="AM42" i="2"/>
  <c r="AP42" i="2"/>
  <c r="AR42" i="2"/>
  <c r="AI41" i="2"/>
  <c r="AL41" i="2"/>
  <c r="AM41" i="2"/>
  <c r="A41" i="2"/>
  <c r="AJ41" i="2"/>
  <c r="AS41" i="2"/>
  <c r="AP41" i="2"/>
  <c r="AN41" i="2"/>
  <c r="AR41" i="2"/>
  <c r="AK41" i="2"/>
  <c r="AO41" i="2"/>
  <c r="C41" i="2"/>
  <c r="AQ41" i="2"/>
  <c r="AI40" i="2"/>
  <c r="AJ40" i="2"/>
  <c r="AO40" i="2"/>
  <c r="AK40" i="2"/>
  <c r="AL40" i="2"/>
  <c r="A40" i="2"/>
  <c r="AQ40" i="2"/>
  <c r="AS40" i="2"/>
  <c r="AP40" i="2"/>
  <c r="AM40" i="2"/>
  <c r="C40" i="2"/>
  <c r="AR40" i="2"/>
  <c r="AN40" i="2"/>
  <c r="AJ39" i="2"/>
  <c r="AI39" i="2"/>
  <c r="AN39" i="2"/>
  <c r="AL39" i="2"/>
  <c r="C39" i="2"/>
  <c r="AQ39" i="2"/>
  <c r="AR39" i="2"/>
  <c r="AS39" i="2"/>
  <c r="AM39" i="2"/>
  <c r="AP39" i="2"/>
  <c r="AK39" i="2"/>
  <c r="AO39" i="2"/>
  <c r="AQ38" i="2"/>
  <c r="AR38" i="2"/>
  <c r="AI38" i="2"/>
  <c r="C38" i="2"/>
  <c r="A38" i="2"/>
  <c r="AJ38" i="2"/>
  <c r="AM38" i="2"/>
  <c r="AP38" i="2"/>
  <c r="AS38" i="2"/>
  <c r="AK38" i="2"/>
  <c r="AO38" i="2"/>
  <c r="AL38" i="2"/>
  <c r="AN38" i="2"/>
  <c r="AP36" i="2"/>
  <c r="AQ36" i="2"/>
  <c r="AR36" i="2"/>
  <c r="C36" i="2"/>
  <c r="AS36" i="2"/>
  <c r="AI36" i="2"/>
  <c r="AJ36" i="2"/>
  <c r="AK36" i="2"/>
  <c r="AL36" i="2"/>
  <c r="AM36" i="2"/>
  <c r="AN36" i="2"/>
  <c r="AO36" i="2"/>
  <c r="AQ35" i="2"/>
  <c r="C35" i="2"/>
  <c r="AS35" i="2"/>
  <c r="AI35" i="2"/>
  <c r="AR35" i="2"/>
  <c r="AP35" i="2"/>
  <c r="AO35" i="2"/>
  <c r="AJ35" i="2"/>
  <c r="AN35" i="2"/>
  <c r="AM35" i="2"/>
  <c r="AL35" i="2"/>
  <c r="AK35" i="2"/>
  <c r="C34" i="2"/>
  <c r="AS34" i="2"/>
  <c r="AK34" i="2"/>
  <c r="AQ34" i="2"/>
  <c r="AN34" i="2"/>
  <c r="AO34" i="2"/>
  <c r="AP34" i="2"/>
  <c r="AR34" i="2"/>
  <c r="AI34" i="2"/>
  <c r="AJ34" i="2"/>
  <c r="AL34" i="2"/>
  <c r="AM34" i="2"/>
  <c r="AR33" i="2"/>
  <c r="AP33" i="2"/>
  <c r="AQ33" i="2"/>
  <c r="AS33" i="2"/>
  <c r="AI33" i="2"/>
  <c r="C33" i="2"/>
  <c r="AO33" i="2"/>
  <c r="AN33" i="2"/>
  <c r="AM33" i="2"/>
  <c r="AL33" i="2"/>
  <c r="AK33" i="2"/>
  <c r="AJ33" i="2"/>
  <c r="AN32" i="2"/>
  <c r="AI32" i="2"/>
  <c r="A32" i="2"/>
  <c r="AJ32" i="2"/>
  <c r="AO32" i="2"/>
  <c r="C32" i="2"/>
  <c r="AR32" i="2"/>
  <c r="AQ32" i="2"/>
  <c r="AS32" i="2"/>
  <c r="AP32" i="2"/>
  <c r="AL32" i="2"/>
  <c r="AM32" i="2"/>
  <c r="AK32" i="2"/>
  <c r="AP31" i="2"/>
  <c r="AM31" i="2"/>
  <c r="AJ31" i="2"/>
  <c r="A31" i="2"/>
  <c r="AK31" i="2"/>
  <c r="AS31" i="2"/>
  <c r="AQ31" i="2"/>
  <c r="AO31" i="2"/>
  <c r="AN31" i="2"/>
  <c r="AL31" i="2"/>
  <c r="C31" i="2"/>
  <c r="AI31" i="2"/>
  <c r="AR31" i="2"/>
  <c r="AL30" i="2"/>
  <c r="AO30" i="2"/>
  <c r="AQ30" i="2"/>
  <c r="AS30" i="2"/>
  <c r="AR30" i="2"/>
  <c r="C30" i="2"/>
  <c r="AN30" i="2"/>
  <c r="AM30" i="2"/>
  <c r="AI30" i="2"/>
  <c r="AJ30" i="2"/>
  <c r="AP30" i="2"/>
  <c r="AK30" i="2"/>
  <c r="AN29" i="2"/>
  <c r="AM29" i="2"/>
  <c r="AK29" i="2"/>
  <c r="AQ29" i="2"/>
  <c r="AL29" i="2"/>
  <c r="AS29" i="2"/>
  <c r="C29" i="2"/>
  <c r="AJ29" i="2"/>
  <c r="AO29" i="2"/>
  <c r="A29" i="2"/>
  <c r="AI29" i="2"/>
  <c r="AR29" i="2"/>
  <c r="AP29" i="2"/>
  <c r="AK28" i="2"/>
  <c r="C28" i="2"/>
  <c r="AP28" i="2"/>
  <c r="A28" i="2"/>
  <c r="AQ28" i="2"/>
  <c r="AN28" i="2"/>
  <c r="AO28" i="2"/>
  <c r="AL28" i="2"/>
  <c r="AJ28" i="2"/>
  <c r="AM28" i="2"/>
  <c r="AS28" i="2"/>
  <c r="AI28" i="2"/>
  <c r="AR28" i="2"/>
  <c r="AI27" i="2"/>
  <c r="AJ27" i="2"/>
  <c r="C27" i="2"/>
  <c r="AO27" i="2"/>
  <c r="AP27" i="2"/>
  <c r="AL27" i="2"/>
  <c r="AN27" i="2"/>
  <c r="AQ27" i="2"/>
  <c r="AR27" i="2"/>
  <c r="AM27" i="2"/>
  <c r="AK27" i="2"/>
  <c r="AS26" i="2"/>
  <c r="AR26" i="2"/>
  <c r="AQ26" i="2"/>
  <c r="AP26" i="2"/>
  <c r="AO26" i="2"/>
  <c r="AN26" i="2"/>
  <c r="AM26" i="2"/>
  <c r="AL26" i="2"/>
  <c r="AK26" i="2"/>
  <c r="C26" i="2"/>
  <c r="AI26" i="2"/>
  <c r="AJ26" i="2"/>
  <c r="AM25" i="2"/>
  <c r="AL25" i="2"/>
  <c r="AK25" i="2"/>
  <c r="AJ25" i="2"/>
  <c r="AI25" i="2"/>
  <c r="C25" i="2"/>
  <c r="AO25" i="2"/>
  <c r="AS25" i="2"/>
  <c r="AR25" i="2"/>
  <c r="AQ25" i="2"/>
  <c r="AP25" i="2"/>
  <c r="AN25" i="2"/>
  <c r="AO24" i="2"/>
  <c r="AM24" i="2"/>
  <c r="C24" i="2"/>
  <c r="AI24" i="2"/>
  <c r="AJ24" i="2"/>
  <c r="AN24" i="2"/>
  <c r="AL24" i="2"/>
  <c r="AK24" i="2"/>
  <c r="AS24" i="2"/>
  <c r="AR24" i="2"/>
  <c r="AQ24" i="2"/>
  <c r="AP24" i="2"/>
  <c r="AQ23" i="2"/>
  <c r="AM23" i="2"/>
  <c r="C23" i="2"/>
  <c r="AN23" i="2"/>
  <c r="AK23" i="2"/>
  <c r="AI23" i="2"/>
  <c r="AP23" i="2"/>
  <c r="A23" i="2"/>
  <c r="AJ23" i="2"/>
  <c r="AL23" i="2"/>
  <c r="AO23" i="2"/>
  <c r="AS23" i="2"/>
  <c r="AR23" i="2"/>
  <c r="AQ22" i="2"/>
  <c r="AO22" i="2"/>
  <c r="AM22" i="2"/>
  <c r="AK22" i="2"/>
  <c r="C22" i="2"/>
  <c r="AS22" i="2"/>
  <c r="AN22" i="2"/>
  <c r="AJ22" i="2"/>
  <c r="A22" i="2"/>
  <c r="AI22" i="2"/>
  <c r="AL22" i="2"/>
  <c r="AP22" i="2"/>
  <c r="AR22" i="2"/>
  <c r="AM21" i="2"/>
  <c r="AL21" i="2"/>
  <c r="AJ21" i="2"/>
  <c r="AI21" i="2"/>
  <c r="AS21" i="2"/>
  <c r="AQ21" i="2"/>
  <c r="C21" i="2"/>
  <c r="A21" i="2"/>
  <c r="AK21" i="2"/>
  <c r="AR21" i="2"/>
  <c r="AP21" i="2"/>
  <c r="AN21" i="2"/>
  <c r="AO21" i="2"/>
  <c r="AJ20" i="2"/>
  <c r="A20" i="2"/>
  <c r="AR20" i="2"/>
  <c r="AQ20" i="2"/>
  <c r="AS20" i="2"/>
  <c r="AN20" i="2"/>
  <c r="AK20" i="2"/>
  <c r="AO20" i="2"/>
  <c r="AP20" i="2"/>
  <c r="C20" i="2"/>
  <c r="AI20" i="2"/>
  <c r="AL20" i="2"/>
  <c r="AM20" i="2"/>
  <c r="AR19" i="2"/>
  <c r="AO19" i="2"/>
  <c r="AL19" i="2"/>
  <c r="A19" i="2"/>
  <c r="AJ19" i="2"/>
  <c r="AN19" i="2"/>
  <c r="AP19" i="2"/>
  <c r="AS19" i="2"/>
  <c r="AQ19" i="2"/>
  <c r="C19" i="2"/>
  <c r="AM19" i="2"/>
  <c r="AK19" i="2"/>
  <c r="AI19" i="2"/>
  <c r="AQ18" i="2"/>
  <c r="AR18" i="2"/>
  <c r="AI18" i="2"/>
  <c r="AS18" i="2"/>
  <c r="A18" i="2"/>
  <c r="AL18" i="2"/>
  <c r="AO18" i="2"/>
  <c r="AM18" i="2"/>
  <c r="AK18" i="2"/>
  <c r="AN18" i="2"/>
  <c r="C18" i="2"/>
  <c r="AJ18" i="2"/>
  <c r="AP18" i="2"/>
  <c r="AR17" i="2"/>
  <c r="AK17" i="2"/>
  <c r="AM17" i="2"/>
  <c r="AS17" i="2"/>
  <c r="AO17" i="2"/>
  <c r="AQ17" i="2"/>
  <c r="A17" i="2"/>
  <c r="C17" i="2"/>
  <c r="AP17" i="2"/>
  <c r="AL17" i="2"/>
  <c r="AJ17" i="2"/>
  <c r="AI17" i="2"/>
  <c r="AN17" i="2"/>
  <c r="C16" i="2"/>
  <c r="AS16" i="2"/>
  <c r="AN16" i="2"/>
  <c r="AI16" i="2"/>
  <c r="AP16" i="2"/>
  <c r="AM16" i="2"/>
  <c r="AO16" i="2"/>
  <c r="AQ16" i="2"/>
  <c r="AR16" i="2"/>
  <c r="AJ16" i="2"/>
  <c r="A16" i="2"/>
  <c r="AL16" i="2"/>
  <c r="AK16" i="2"/>
  <c r="AP15" i="2"/>
  <c r="AN15" i="2"/>
  <c r="AL15" i="2"/>
  <c r="AJ15" i="2"/>
  <c r="AQ15" i="2"/>
  <c r="AK15" i="2"/>
  <c r="A15" i="2"/>
  <c r="AS15" i="2"/>
  <c r="AO15" i="2"/>
  <c r="AM15" i="2"/>
  <c r="C15" i="2"/>
  <c r="AR15" i="2"/>
  <c r="AI15" i="2"/>
  <c r="AQ14" i="2"/>
  <c r="AO14" i="2"/>
  <c r="AN14" i="2"/>
  <c r="AL14" i="2"/>
  <c r="AK14" i="2"/>
  <c r="AI14" i="2"/>
  <c r="AM14" i="2"/>
  <c r="AR14" i="2"/>
  <c r="AS14" i="2"/>
  <c r="AP14" i="2"/>
  <c r="A14" i="2"/>
  <c r="C14" i="2"/>
  <c r="AM13" i="2"/>
  <c r="AQ13" i="2"/>
  <c r="AP13" i="2"/>
  <c r="AK13" i="2"/>
  <c r="AI13" i="2"/>
  <c r="A13" i="2"/>
  <c r="C13" i="2"/>
  <c r="AS13" i="2"/>
  <c r="AJ13" i="2"/>
  <c r="AL13" i="2"/>
  <c r="AN13" i="2"/>
  <c r="AO13" i="2"/>
  <c r="AR13" i="2"/>
  <c r="A12" i="2"/>
  <c r="C12" i="2"/>
  <c r="AS12" i="2"/>
  <c r="AQ12" i="2"/>
  <c r="AO12" i="2"/>
  <c r="AM12" i="2"/>
  <c r="AJ12" i="2"/>
  <c r="AI12" i="2"/>
  <c r="AK12" i="2"/>
  <c r="AN12" i="2"/>
  <c r="AP12" i="2"/>
  <c r="AL12" i="2"/>
  <c r="AR12" i="2"/>
  <c r="AS11" i="2"/>
  <c r="AQ11" i="2"/>
  <c r="AP11" i="2"/>
  <c r="AR11" i="2"/>
  <c r="AM11" i="2"/>
  <c r="AO11" i="2"/>
  <c r="AL11" i="2"/>
  <c r="AJ11" i="2"/>
  <c r="C11" i="2"/>
  <c r="AK11" i="2"/>
  <c r="AN11" i="2"/>
  <c r="AI11" i="2"/>
  <c r="AO10" i="2"/>
  <c r="A10" i="2"/>
  <c r="AK10" i="2"/>
  <c r="AP10" i="2"/>
  <c r="AL10" i="2"/>
  <c r="AI10" i="2"/>
  <c r="AN10" i="2"/>
  <c r="AR10" i="2"/>
  <c r="AQ10" i="2"/>
  <c r="AS10" i="2"/>
  <c r="AJ10" i="2"/>
  <c r="AM10" i="2"/>
  <c r="C10" i="2"/>
  <c r="AS9" i="2"/>
  <c r="AN9" i="2"/>
  <c r="AO9" i="2"/>
  <c r="AI9" i="2"/>
  <c r="AP9" i="2"/>
  <c r="AL9" i="2"/>
  <c r="AJ9" i="2"/>
  <c r="AM9" i="2"/>
  <c r="AQ9" i="2"/>
  <c r="AK9" i="2"/>
  <c r="AR9" i="2"/>
  <c r="C9" i="2"/>
  <c r="C8" i="2"/>
  <c r="AR8" i="2"/>
  <c r="AP8" i="2"/>
  <c r="AJ8" i="2"/>
  <c r="A8" i="2"/>
  <c r="AI8" i="2"/>
  <c r="AL8" i="2"/>
  <c r="AO8" i="2"/>
  <c r="AM8" i="2"/>
  <c r="AQ8" i="2"/>
  <c r="AS8" i="2"/>
  <c r="AN8" i="2"/>
  <c r="AK8" i="2"/>
  <c r="AJ7" i="2"/>
  <c r="AR7" i="2" s="1"/>
  <c r="AO7" i="2"/>
  <c r="A7" i="2"/>
  <c r="C7" i="2"/>
  <c r="AN7" i="2"/>
  <c r="AK7" i="2"/>
  <c r="AP7" i="2"/>
  <c r="AI7" i="2"/>
  <c r="F4" i="2"/>
  <c r="V4" i="2"/>
  <c r="P4" i="2"/>
  <c r="K4" i="2"/>
  <c r="H4" i="2"/>
  <c r="D4" i="2"/>
  <c r="AA4" i="2"/>
  <c r="AF4" i="2"/>
  <c r="AH4" i="2"/>
  <c r="AE4" i="2"/>
  <c r="Q4" i="2"/>
  <c r="S4" i="2"/>
  <c r="U4" i="2"/>
  <c r="W4" i="2"/>
  <c r="N4" i="2"/>
  <c r="E4" i="2"/>
  <c r="O4" i="2"/>
  <c r="G4" i="2"/>
  <c r="A2" i="2"/>
  <c r="AG4" i="2"/>
  <c r="Y4" i="2"/>
  <c r="R4" i="2"/>
  <c r="M4" i="2"/>
  <c r="I4" i="2"/>
  <c r="Z4" i="2"/>
  <c r="AB4" i="2"/>
  <c r="L4" i="2"/>
  <c r="J4" i="2"/>
  <c r="AC4" i="2"/>
  <c r="X4" i="2"/>
  <c r="AD4" i="2"/>
  <c r="T4" i="2"/>
  <c r="F5" i="2" l="1"/>
  <c r="F107" i="2"/>
  <c r="F108" i="2"/>
  <c r="F6" i="2"/>
  <c r="V6" i="2"/>
  <c r="V107" i="2"/>
  <c r="V108" i="2"/>
  <c r="V5" i="2"/>
  <c r="P107" i="2"/>
  <c r="P108" i="2"/>
  <c r="P5" i="2"/>
  <c r="P6" i="2"/>
  <c r="K5" i="2"/>
  <c r="K6" i="2"/>
  <c r="K107" i="2"/>
  <c r="K108" i="2"/>
  <c r="H6" i="2"/>
  <c r="H107" i="2"/>
  <c r="H108" i="2"/>
  <c r="H5" i="2"/>
  <c r="D5" i="2"/>
  <c r="D107" i="2"/>
  <c r="D108" i="2"/>
  <c r="D6" i="2"/>
  <c r="AA5" i="2"/>
  <c r="AA6" i="2"/>
  <c r="AA107" i="2"/>
  <c r="AA108" i="2"/>
  <c r="AF6" i="2"/>
  <c r="AF107" i="2"/>
  <c r="AF108" i="2"/>
  <c r="AF5" i="2"/>
  <c r="AH5" i="2"/>
  <c r="AH107" i="2"/>
  <c r="AH108" i="2"/>
  <c r="AH6" i="2"/>
  <c r="AE5" i="2"/>
  <c r="AE107" i="2"/>
  <c r="AE108" i="2"/>
  <c r="AE6" i="2"/>
  <c r="Q5" i="2"/>
  <c r="Q107" i="2"/>
  <c r="Q108" i="2"/>
  <c r="Q6" i="2"/>
  <c r="S107" i="2"/>
  <c r="S108" i="2"/>
  <c r="S6" i="2"/>
  <c r="S5" i="2"/>
  <c r="U5" i="2"/>
  <c r="U107" i="2"/>
  <c r="U108" i="2"/>
  <c r="U6" i="2"/>
  <c r="W5" i="2"/>
  <c r="W6" i="2"/>
  <c r="W107" i="2"/>
  <c r="W108" i="2"/>
  <c r="N5" i="2"/>
  <c r="N6" i="2"/>
  <c r="N107" i="2"/>
  <c r="N108" i="2"/>
  <c r="E5" i="2"/>
  <c r="E6" i="2"/>
  <c r="E107" i="2"/>
  <c r="E108" i="2"/>
  <c r="O6" i="2"/>
  <c r="O107" i="2"/>
  <c r="O108" i="2"/>
  <c r="O5" i="2"/>
  <c r="G107" i="2"/>
  <c r="G108" i="2"/>
  <c r="G5" i="2"/>
  <c r="G6" i="2"/>
  <c r="AG5" i="2"/>
  <c r="AG6" i="2"/>
  <c r="AG107" i="2"/>
  <c r="AG108" i="2"/>
  <c r="Y5" i="2"/>
  <c r="Y6" i="2"/>
  <c r="Y107" i="2"/>
  <c r="Y108" i="2"/>
  <c r="R5" i="2"/>
  <c r="R6" i="2"/>
  <c r="R107" i="2"/>
  <c r="R108" i="2"/>
  <c r="M5" i="2"/>
  <c r="M6" i="2"/>
  <c r="M107" i="2"/>
  <c r="M108" i="2"/>
  <c r="I5" i="2"/>
  <c r="I6" i="2"/>
  <c r="I107" i="2"/>
  <c r="I108" i="2"/>
  <c r="Z5" i="2"/>
  <c r="Z107" i="2"/>
  <c r="Z108" i="2"/>
  <c r="Z6" i="2"/>
  <c r="AB5" i="2"/>
  <c r="AB107" i="2"/>
  <c r="AB108" i="2"/>
  <c r="AB6" i="2"/>
  <c r="L5" i="2"/>
  <c r="L107" i="2"/>
  <c r="L108" i="2"/>
  <c r="L6" i="2"/>
  <c r="J5" i="2"/>
  <c r="J107" i="2"/>
  <c r="J108" i="2"/>
  <c r="J6" i="2"/>
  <c r="AC107" i="2"/>
  <c r="AC108" i="2"/>
  <c r="AC6" i="2"/>
  <c r="AC5" i="2"/>
  <c r="X5" i="2"/>
  <c r="X107" i="2"/>
  <c r="X108" i="2"/>
  <c r="X6" i="2"/>
  <c r="AD5" i="2"/>
  <c r="AD6" i="2"/>
  <c r="AD107" i="2"/>
  <c r="AD108" i="2"/>
  <c r="T5" i="2"/>
  <c r="T6" i="2"/>
  <c r="T107" i="2"/>
  <c r="T108" i="2"/>
  <c r="AL7" i="2" l="1"/>
  <c r="AM7" i="2"/>
  <c r="AQ7" i="2" l="1"/>
  <c r="AS7" i="2"/>
</calcChain>
</file>

<file path=xl/sharedStrings.xml><?xml version="1.0" encoding="utf-8"?>
<sst xmlns="http://schemas.openxmlformats.org/spreadsheetml/2006/main" count="83" uniqueCount="70">
  <si>
    <t>ATTENDANCE TEMPLATE - SETTINGS</t>
  </si>
  <si>
    <t>Yellow cells with blue text are inputs. Everything else calculates automatically.</t>
  </si>
  <si>
    <t>Paid holidays (blank cells on these dates count as PH)</t>
  </si>
  <si>
    <t>Item</t>
  </si>
  <si>
    <t>Value</t>
  </si>
  <si>
    <t>Note</t>
  </si>
  <si>
    <t>Holiday Date</t>
  </si>
  <si>
    <t>Holiday Name</t>
  </si>
  <si>
    <t>Company Name</t>
  </si>
  <si>
    <t>Your Company Name</t>
  </si>
  <si>
    <t>Shown on the attendance sheet heading</t>
  </si>
  <si>
    <t>Example holiday - overwrite</t>
  </si>
  <si>
    <t>Attendance Month</t>
  </si>
  <si>
    <t>Type any date of the month (e.g. 01-Nov-2026) - the whole sheet changes</t>
  </si>
  <si>
    <t>First Day of Month</t>
  </si>
  <si>
    <t>Auto</t>
  </si>
  <si>
    <t>Days in Month</t>
  </si>
  <si>
    <t>Weekly Off Day (1=Sun, 2=Mon ... 7=Sat)</t>
  </si>
  <si>
    <t>Weekly off is counted automatically on blank cells of this weekday</t>
  </si>
  <si>
    <t>ATTENDANCE CODES (use in the Attendance sheet)</t>
  </si>
  <si>
    <t>Code</t>
  </si>
  <si>
    <t>Meaning</t>
  </si>
  <si>
    <t>Paid Day Value</t>
  </si>
  <si>
    <t>P</t>
  </si>
  <si>
    <t>Present</t>
  </si>
  <si>
    <t>1</t>
  </si>
  <si>
    <t>A</t>
  </si>
  <si>
    <t>Absent (Loss of Pay)</t>
  </si>
  <si>
    <t>0</t>
  </si>
  <si>
    <t>HD</t>
  </si>
  <si>
    <t>Half Day</t>
  </si>
  <si>
    <t>0.5 paid / 0.5 LOP</t>
  </si>
  <si>
    <t>WO</t>
  </si>
  <si>
    <t>Weekly Off (auto on blank cells)</t>
  </si>
  <si>
    <t>PH</t>
  </si>
  <si>
    <t>Paid Holiday (auto on blank cells)</t>
  </si>
  <si>
    <t>CL</t>
  </si>
  <si>
    <t>Casual Leave</t>
  </si>
  <si>
    <t>SL</t>
  </si>
  <si>
    <t>Sick Leave</t>
  </si>
  <si>
    <t>PL</t>
  </si>
  <si>
    <t>Privilege / Earned Leave</t>
  </si>
  <si>
    <t>HOW TO USE</t>
  </si>
  <si>
    <t>1. Fill Setting (company, month, weekly off, holidays).</t>
  </si>
  <si>
    <t>2. Enter employees once in Employee_List (code, name, department...).</t>
  </si>
  <si>
    <t>3. In Attendance, pick a code from the dropdown for each day. Leave weekly-off / holiday days blank - they are counted automatically.</t>
  </si>
  <si>
    <t>4. Paid Days, LOP Days and Unmarked Days (days not yet filled) calculate on the right. Copy Paid Days to the Salary Slip template.</t>
  </si>
  <si>
    <t>5. Rows can be extended: copy the last row of Employee_List and Attendance downwards.</t>
  </si>
  <si>
    <t>Sr</t>
  </si>
  <si>
    <t>Emp Code</t>
  </si>
  <si>
    <t>Employee Name</t>
  </si>
  <si>
    <t>Absent</t>
  </si>
  <si>
    <t>Weekly Off</t>
  </si>
  <si>
    <t>Paid Holiday</t>
  </si>
  <si>
    <t>PAID DAYS</t>
  </si>
  <si>
    <t>LOP DAYS</t>
  </si>
  <si>
    <t>Unmarked Days</t>
  </si>
  <si>
    <t>Day</t>
  </si>
  <si>
    <t>Weekly Off / Holiday (auto)</t>
  </si>
  <si>
    <t>Present Count (day-wise)</t>
  </si>
  <si>
    <t>Absent Count (day-wise)</t>
  </si>
  <si>
    <t>EMPLOYEE LIST</t>
  </si>
  <si>
    <t>Enter each employee once. Row 5 is an example - overwrite or delete it.</t>
  </si>
  <si>
    <t>Department</t>
  </si>
  <si>
    <t>Designation</t>
  </si>
  <si>
    <t>Date of Joining</t>
  </si>
  <si>
    <t>EMP001</t>
  </si>
  <si>
    <t>Sample Employee</t>
  </si>
  <si>
    <t>Production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</si>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</sst>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mmm\ yyyy"/>
    <numFmt numFmtId="166" formatCode="dd\-mmm\-yyyy"/>
    <numFmt numFmtId="167" formatCode="d"/>
    <numFmt numFmtId="168" formatCode="0.0"/>
    <numFmt numFmtId="169" formatCode="0.#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1"/>
      <color rgb="FF1F3864"/>
      <name val="Arial"/>
    </font>
    <font>
      <sz val="8"/>
      <color rgb="FFFFFFFF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/>
    <xf numFmtId="166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6" fillId="0" borderId="1" xfId="0" applyNumberFormat="1" applyFont="1" applyBorder="1"/>
    <xf numFmtId="0" fontId="6" fillId="0" borderId="1" xfId="0" applyFont="1" applyBorder="1"/>
    <xf numFmtId="0" fontId="7" fillId="0" borderId="0" xfId="0" applyFont="1"/>
    <xf numFmtId="0" fontId="6" fillId="0" borderId="0" xfId="0" applyFont="1"/>
    <xf numFmtId="167" fontId="3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9" fontId="10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 patternType="solid">
          <fgColor rgb="FFDDEBF7"/>
          <bgColor rgb="FFDDEBF7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6" sqref="B6"/>
    </sheetView>
  </sheetViews>
  <sheetFormatPr defaultRowHeight="14.5" x14ac:dyDescent="0.35"/>
  <cols>
    <col min="1" max="1" width="42" customWidth="1"/>
    <col min="2" max="2" width="24" customWidth="1"/>
    <col min="3" max="3" width="70" customWidth="1"/>
    <col min="4" max="4" width="3" customWidth="1"/>
    <col min="5" max="5" width="16" customWidth="1"/>
    <col min="6" max="6" width="32" customWidth="1"/>
  </cols>
  <sheetData>
    <row r="1" spans="1:6" ht="18" x14ac:dyDescent="0.4">
      <c r="A1" s="1" t="s">
        <v>0</v>
      </c>
    </row>
    <row r="2" spans="1:6" x14ac:dyDescent="0.35">
      <c r="A2" s="2" t="s">
        <v>1</v>
      </c>
      <c r="E2" s="3" t="s">
        <v>2</v>
      </c>
    </row>
    <row r="3" spans="1:6" ht="20" customHeight="1" x14ac:dyDescent="0.35">
      <c r="A3" s="4" t="s">
        <v>3</v>
      </c>
      <c r="B3" s="4" t="s">
        <v>4</v>
      </c>
      <c r="C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 t="s">
        <v>9</v>
      </c>
      <c r="C4" s="2" t="s">
        <v>10</v>
      </c>
      <c r="E4" s="7">
        <v>46335</v>
      </c>
      <c r="F4" s="6" t="s">
        <v>11</v>
      </c>
    </row>
    <row r="5" spans="1:6" x14ac:dyDescent="0.35">
      <c r="A5" s="5" t="s">
        <v>12</v>
      </c>
      <c r="B5" s="8">
        <v>46296</v>
      </c>
      <c r="C5" s="2" t="s">
        <v>13</v>
      </c>
      <c r="E5" s="7"/>
      <c r="F5" s="6"/>
    </row>
    <row r="6" spans="1:6" x14ac:dyDescent="0.35">
      <c r="A6" s="5" t="s">
        <v>14</v>
      </c>
      <c r="B6" s="9">
        <f>DATE(YEAR(B5),MONTH(B5),1)</f>
        <v>46296</v>
      </c>
      <c r="C6" s="2" t="s">
        <v>15</v>
      </c>
      <c r="E6" s="7"/>
      <c r="F6" s="6"/>
    </row>
    <row r="7" spans="1:6" x14ac:dyDescent="0.35">
      <c r="A7" s="5" t="s">
        <v>16</v>
      </c>
      <c r="B7" s="10">
        <f>DAY(EOMONTH(B5,0))</f>
        <v>31</v>
      </c>
      <c r="C7" s="2" t="s">
        <v>15</v>
      </c>
      <c r="E7" s="7"/>
      <c r="F7" s="6"/>
    </row>
    <row r="8" spans="1:6" x14ac:dyDescent="0.35">
      <c r="A8" s="5" t="s">
        <v>17</v>
      </c>
      <c r="B8" s="6">
        <v>1</v>
      </c>
      <c r="C8" s="2" t="s">
        <v>18</v>
      </c>
      <c r="E8" s="7"/>
      <c r="F8" s="6"/>
    </row>
    <row r="9" spans="1:6" x14ac:dyDescent="0.35">
      <c r="E9" s="7"/>
      <c r="F9" s="6"/>
    </row>
    <row r="10" spans="1:6" x14ac:dyDescent="0.35">
      <c r="E10" s="7"/>
      <c r="F10" s="6"/>
    </row>
    <row r="11" spans="1:6" x14ac:dyDescent="0.35">
      <c r="A11" s="11" t="s">
        <v>19</v>
      </c>
      <c r="E11" s="7"/>
      <c r="F11" s="6"/>
    </row>
    <row r="12" spans="1:6" ht="20" customHeight="1" x14ac:dyDescent="0.35">
      <c r="A12" s="4" t="s">
        <v>20</v>
      </c>
      <c r="B12" s="4" t="s">
        <v>21</v>
      </c>
      <c r="C12" s="4" t="s">
        <v>22</v>
      </c>
      <c r="E12" s="7"/>
      <c r="F12" s="6"/>
    </row>
    <row r="13" spans="1:6" x14ac:dyDescent="0.35">
      <c r="A13" s="5" t="s">
        <v>23</v>
      </c>
      <c r="B13" s="10" t="s">
        <v>24</v>
      </c>
      <c r="C13" s="10" t="s">
        <v>25</v>
      </c>
      <c r="E13" s="7"/>
      <c r="F13" s="6"/>
    </row>
    <row r="14" spans="1:6" x14ac:dyDescent="0.35">
      <c r="A14" s="5" t="s">
        <v>26</v>
      </c>
      <c r="B14" s="10" t="s">
        <v>27</v>
      </c>
      <c r="C14" s="10" t="s">
        <v>28</v>
      </c>
      <c r="E14" s="7"/>
      <c r="F14" s="6"/>
    </row>
    <row r="15" spans="1:6" x14ac:dyDescent="0.35">
      <c r="A15" s="5" t="s">
        <v>29</v>
      </c>
      <c r="B15" s="10" t="s">
        <v>30</v>
      </c>
      <c r="C15" s="10" t="s">
        <v>31</v>
      </c>
      <c r="E15" s="7"/>
      <c r="F15" s="6"/>
    </row>
    <row r="16" spans="1:6" x14ac:dyDescent="0.35">
      <c r="A16" s="5" t="s">
        <v>32</v>
      </c>
      <c r="B16" s="10" t="s">
        <v>33</v>
      </c>
      <c r="C16" s="10" t="s">
        <v>25</v>
      </c>
      <c r="E16" s="7"/>
      <c r="F16" s="6"/>
    </row>
    <row r="17" spans="1:6" x14ac:dyDescent="0.35">
      <c r="A17" s="5" t="s">
        <v>34</v>
      </c>
      <c r="B17" s="10" t="s">
        <v>35</v>
      </c>
      <c r="C17" s="10" t="s">
        <v>25</v>
      </c>
      <c r="E17" s="7"/>
      <c r="F17" s="6"/>
    </row>
    <row r="18" spans="1:6" x14ac:dyDescent="0.35">
      <c r="A18" s="5" t="s">
        <v>36</v>
      </c>
      <c r="B18" s="10" t="s">
        <v>37</v>
      </c>
      <c r="C18" s="10" t="s">
        <v>25</v>
      </c>
      <c r="E18" s="7"/>
      <c r="F18" s="6"/>
    </row>
    <row r="19" spans="1:6" x14ac:dyDescent="0.35">
      <c r="A19" s="5" t="s">
        <v>38</v>
      </c>
      <c r="B19" s="10" t="s">
        <v>39</v>
      </c>
      <c r="C19" s="10" t="s">
        <v>25</v>
      </c>
      <c r="E19" s="7"/>
      <c r="F19" s="6"/>
    </row>
    <row r="20" spans="1:6" x14ac:dyDescent="0.35">
      <c r="A20" s="5" t="s">
        <v>40</v>
      </c>
      <c r="B20" s="10" t="s">
        <v>41</v>
      </c>
      <c r="C20" s="10" t="s">
        <v>25</v>
      </c>
      <c r="E20" s="7"/>
      <c r="F20" s="6"/>
    </row>
    <row r="21" spans="1:6" x14ac:dyDescent="0.35">
      <c r="E21" s="7"/>
      <c r="F21" s="6"/>
    </row>
    <row r="22" spans="1:6" x14ac:dyDescent="0.35">
      <c r="A22" s="11" t="s">
        <v>42</v>
      </c>
      <c r="E22" s="7"/>
      <c r="F22" s="6"/>
    </row>
    <row r="23" spans="1:6" x14ac:dyDescent="0.35">
      <c r="A23" s="12" t="s">
        <v>43</v>
      </c>
      <c r="E23" s="7"/>
      <c r="F23" s="6"/>
    </row>
    <row r="24" spans="1:6" x14ac:dyDescent="0.35">
      <c r="A24" s="12" t="s">
        <v>44</v>
      </c>
      <c r="E24" s="7"/>
      <c r="F24" s="6"/>
    </row>
    <row r="25" spans="1:6" x14ac:dyDescent="0.35">
      <c r="A25" s="12" t="s">
        <v>45</v>
      </c>
      <c r="E25" s="7"/>
      <c r="F25" s="6"/>
    </row>
    <row r="26" spans="1:6" x14ac:dyDescent="0.35">
      <c r="A26" s="12" t="s">
        <v>46</v>
      </c>
      <c r="E26" s="7"/>
      <c r="F26" s="6"/>
    </row>
    <row r="27" spans="1:6" x14ac:dyDescent="0.35">
      <c r="A27" s="12" t="s">
        <v>47</v>
      </c>
      <c r="E27" s="7"/>
      <c r="F27" s="6"/>
    </row>
    <row r="28" spans="1:6" x14ac:dyDescent="0.35">
      <c r="E28" s="7"/>
      <c r="F28" s="6"/>
    </row>
    <row r="29" spans="1:6" x14ac:dyDescent="0.35">
      <c r="E29" s="7"/>
      <c r="F29" s="6"/>
    </row>
    <row r="30" spans="1:6" x14ac:dyDescent="0.35">
      <c r="E30" s="7"/>
      <c r="F30" s="6"/>
    </row>
    <row r="31" spans="1:6" x14ac:dyDescent="0.35">
      <c r="E31" s="7"/>
      <c r="F31" s="6"/>
    </row>
    <row r="32" spans="1:6" x14ac:dyDescent="0.35">
      <c r="E32" s="7"/>
      <c r="F32" s="6"/>
    </row>
    <row r="33" spans="5:6" x14ac:dyDescent="0.35">
      <c r="E33" s="7"/>
      <c r="F33" s="6"/>
    </row>
  </sheetData>
  <dataValidations count="1">
    <dataValidation type="whole" sqref="B8" xr:uid="{00000000-0002-0000-0000-000000000000}">
      <formula1>1</formula1>
      <formula2>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108"/>
  <sheetViews>
    <sheetView workbookViewId="0">
      <pane xSplit="3" ySplit="6" topLeftCell="D7" activePane="bottomRight" state="frozen"/>
      <selection pane="topRight"/>
      <selection pane="bottomLeft"/>
      <selection pane="bottomRight" activeCell="A2" sqref="A2"/>
    </sheetView>
  </sheetViews>
  <sheetFormatPr defaultRowHeight="14.5" x14ac:dyDescent="0.35"/>
  <cols>
    <col min="1" max="1" width="5" customWidth="1"/>
    <col min="2" max="2" width="11" customWidth="1"/>
    <col min="3" max="3" width="26" customWidth="1"/>
    <col min="4" max="34" width="4.26953125" customWidth="1"/>
    <col min="35" max="45" width="9" customWidth="1"/>
  </cols>
  <sheetData>
    <row r="1" spans="1:45" ht="18" x14ac:dyDescent="0.4">
      <c r="A1" s="1" t="str">
        <f>Setting!B4&amp;" - ATTENDANCE SHEET"</f>
        <v>Your Company Name - ATTENDANCE SHEET</v>
      </c>
    </row>
    <row r="2" spans="1:45" x14ac:dyDescent="0.35">
      <c r="A2" s="3" t="str">
        <f>"Month: "&amp;TEXT(Setting!B5,"mmmm yyyy")&amp;"    |    Days in month: "&amp;Setting!B7</f>
        <v>Month: October 2026    |    Days in month: 31</v>
      </c>
    </row>
    <row r="4" spans="1:45" ht="22" customHeight="1" x14ac:dyDescent="0.35">
      <c r="A4" s="4" t="s">
        <v>48</v>
      </c>
      <c r="B4" s="4" t="s">
        <v>49</v>
      </c>
      <c r="C4" s="4" t="s">
        <v>50</v>
      </c>
      <c r="D4" s="13">
        <f>IF(1&lt;=Setting!$B$7,DATE(YEAR(Setting!$B$5),MONTH(Setting!$B$5),1),"")</f>
        <v>46296</v>
      </c>
      <c r="E4" s="13">
        <f>IF(2&lt;=Setting!$B$7,DATE(YEAR(Setting!$B$5),MONTH(Setting!$B$5),2),"")</f>
        <v>46297</v>
      </c>
      <c r="F4" s="13">
        <f>IF(3&lt;=Setting!$B$7,DATE(YEAR(Setting!$B$5),MONTH(Setting!$B$5),3),"")</f>
        <v>46298</v>
      </c>
      <c r="G4" s="13">
        <f>IF(4&lt;=Setting!$B$7,DATE(YEAR(Setting!$B$5),MONTH(Setting!$B$5),4),"")</f>
        <v>46299</v>
      </c>
      <c r="H4" s="13">
        <f>IF(5&lt;=Setting!$B$7,DATE(YEAR(Setting!$B$5),MONTH(Setting!$B$5),5),"")</f>
        <v>46300</v>
      </c>
      <c r="I4" s="13">
        <f>IF(6&lt;=Setting!$B$7,DATE(YEAR(Setting!$B$5),MONTH(Setting!$B$5),6),"")</f>
        <v>46301</v>
      </c>
      <c r="J4" s="13">
        <f>IF(7&lt;=Setting!$B$7,DATE(YEAR(Setting!$B$5),MONTH(Setting!$B$5),7),"")</f>
        <v>46302</v>
      </c>
      <c r="K4" s="13">
        <f>IF(8&lt;=Setting!$B$7,DATE(YEAR(Setting!$B$5),MONTH(Setting!$B$5),8),"")</f>
        <v>46303</v>
      </c>
      <c r="L4" s="13">
        <f>IF(9&lt;=Setting!$B$7,DATE(YEAR(Setting!$B$5),MONTH(Setting!$B$5),9),"")</f>
        <v>46304</v>
      </c>
      <c r="M4" s="13">
        <f>IF(10&lt;=Setting!$B$7,DATE(YEAR(Setting!$B$5),MONTH(Setting!$B$5),10),"")</f>
        <v>46305</v>
      </c>
      <c r="N4" s="13">
        <f>IF(11&lt;=Setting!$B$7,DATE(YEAR(Setting!$B$5),MONTH(Setting!$B$5),11),"")</f>
        <v>46306</v>
      </c>
      <c r="O4" s="13">
        <f>IF(12&lt;=Setting!$B$7,DATE(YEAR(Setting!$B$5),MONTH(Setting!$B$5),12),"")</f>
        <v>46307</v>
      </c>
      <c r="P4" s="13">
        <f>IF(13&lt;=Setting!$B$7,DATE(YEAR(Setting!$B$5),MONTH(Setting!$B$5),13),"")</f>
        <v>46308</v>
      </c>
      <c r="Q4" s="13">
        <f>IF(14&lt;=Setting!$B$7,DATE(YEAR(Setting!$B$5),MONTH(Setting!$B$5),14),"")</f>
        <v>46309</v>
      </c>
      <c r="R4" s="13">
        <f>IF(15&lt;=Setting!$B$7,DATE(YEAR(Setting!$B$5),MONTH(Setting!$B$5),15),"")</f>
        <v>46310</v>
      </c>
      <c r="S4" s="13">
        <f>IF(16&lt;=Setting!$B$7,DATE(YEAR(Setting!$B$5),MONTH(Setting!$B$5),16),"")</f>
        <v>46311</v>
      </c>
      <c r="T4" s="13">
        <f>IF(17&lt;=Setting!$B$7,DATE(YEAR(Setting!$B$5),MONTH(Setting!$B$5),17),"")</f>
        <v>46312</v>
      </c>
      <c r="U4" s="13">
        <f>IF(18&lt;=Setting!$B$7,DATE(YEAR(Setting!$B$5),MONTH(Setting!$B$5),18),"")</f>
        <v>46313</v>
      </c>
      <c r="V4" s="13">
        <f>IF(19&lt;=Setting!$B$7,DATE(YEAR(Setting!$B$5),MONTH(Setting!$B$5),19),"")</f>
        <v>46314</v>
      </c>
      <c r="W4" s="13">
        <f>IF(20&lt;=Setting!$B$7,DATE(YEAR(Setting!$B$5),MONTH(Setting!$B$5),20),"")</f>
        <v>46315</v>
      </c>
      <c r="X4" s="13">
        <f>IF(21&lt;=Setting!$B$7,DATE(YEAR(Setting!$B$5),MONTH(Setting!$B$5),21),"")</f>
        <v>46316</v>
      </c>
      <c r="Y4" s="13">
        <f>IF(22&lt;=Setting!$B$7,DATE(YEAR(Setting!$B$5),MONTH(Setting!$B$5),22),"")</f>
        <v>46317</v>
      </c>
      <c r="Z4" s="13">
        <f>IF(23&lt;=Setting!$B$7,DATE(YEAR(Setting!$B$5),MONTH(Setting!$B$5),23),"")</f>
        <v>46318</v>
      </c>
      <c r="AA4" s="13">
        <f>IF(24&lt;=Setting!$B$7,DATE(YEAR(Setting!$B$5),MONTH(Setting!$B$5),24),"")</f>
        <v>46319</v>
      </c>
      <c r="AB4" s="13">
        <f>IF(25&lt;=Setting!$B$7,DATE(YEAR(Setting!$B$5),MONTH(Setting!$B$5),25),"")</f>
        <v>46320</v>
      </c>
      <c r="AC4" s="13">
        <f>IF(26&lt;=Setting!$B$7,DATE(YEAR(Setting!$B$5),MONTH(Setting!$B$5),26),"")</f>
        <v>46321</v>
      </c>
      <c r="AD4" s="13">
        <f>IF(27&lt;=Setting!$B$7,DATE(YEAR(Setting!$B$5),MONTH(Setting!$B$5),27),"")</f>
        <v>46322</v>
      </c>
      <c r="AE4" s="13">
        <f>IF(28&lt;=Setting!$B$7,DATE(YEAR(Setting!$B$5),MONTH(Setting!$B$5),28),"")</f>
        <v>46323</v>
      </c>
      <c r="AF4" s="13">
        <f>IF(29&lt;=Setting!$B$7,DATE(YEAR(Setting!$B$5),MONTH(Setting!$B$5),29),"")</f>
        <v>46324</v>
      </c>
      <c r="AG4" s="13">
        <f>IF(30&lt;=Setting!$B$7,DATE(YEAR(Setting!$B$5),MONTH(Setting!$B$5),30),"")</f>
        <v>46325</v>
      </c>
      <c r="AH4" s="13">
        <f>IF(31&lt;=Setting!$B$7,DATE(YEAR(Setting!$B$5),MONTH(Setting!$B$5),31),"")</f>
        <v>46326</v>
      </c>
      <c r="AI4" s="4" t="s">
        <v>24</v>
      </c>
      <c r="AJ4" s="4" t="s">
        <v>51</v>
      </c>
      <c r="AK4" s="4" t="s">
        <v>30</v>
      </c>
      <c r="AL4" s="4" t="s">
        <v>52</v>
      </c>
      <c r="AM4" s="4" t="s">
        <v>53</v>
      </c>
      <c r="AN4" s="4" t="s">
        <v>36</v>
      </c>
      <c r="AO4" s="4" t="s">
        <v>38</v>
      </c>
      <c r="AP4" s="4" t="s">
        <v>40</v>
      </c>
      <c r="AQ4" s="4" t="s">
        <v>54</v>
      </c>
      <c r="AR4" s="4" t="s">
        <v>55</v>
      </c>
      <c r="AS4" s="4" t="s">
        <v>56</v>
      </c>
    </row>
    <row r="5" spans="1:45" x14ac:dyDescent="0.35">
      <c r="A5" s="14"/>
      <c r="B5" s="14"/>
      <c r="C5" s="15" t="s">
        <v>57</v>
      </c>
      <c r="D5" s="16" t="str">
        <f t="shared" ref="D5:AH5" si="0">IF(D4="","",TEXT(D4,"ddd"))</f>
        <v>Thu</v>
      </c>
      <c r="E5" s="16" t="str">
        <f t="shared" si="0"/>
        <v>Fri</v>
      </c>
      <c r="F5" s="16" t="str">
        <f t="shared" si="0"/>
        <v>Sat</v>
      </c>
      <c r="G5" s="16" t="str">
        <f t="shared" si="0"/>
        <v>Sun</v>
      </c>
      <c r="H5" s="16" t="str">
        <f t="shared" si="0"/>
        <v>Mon</v>
      </c>
      <c r="I5" s="16" t="str">
        <f t="shared" si="0"/>
        <v>Tue</v>
      </c>
      <c r="J5" s="16" t="str">
        <f t="shared" si="0"/>
        <v>Wed</v>
      </c>
      <c r="K5" s="16" t="str">
        <f t="shared" si="0"/>
        <v>Thu</v>
      </c>
      <c r="L5" s="16" t="str">
        <f t="shared" si="0"/>
        <v>Fri</v>
      </c>
      <c r="M5" s="16" t="str">
        <f t="shared" si="0"/>
        <v>Sat</v>
      </c>
      <c r="N5" s="16" t="str">
        <f t="shared" si="0"/>
        <v>Sun</v>
      </c>
      <c r="O5" s="16" t="str">
        <f t="shared" si="0"/>
        <v>Mon</v>
      </c>
      <c r="P5" s="16" t="str">
        <f t="shared" si="0"/>
        <v>Tue</v>
      </c>
      <c r="Q5" s="16" t="str">
        <f t="shared" si="0"/>
        <v>Wed</v>
      </c>
      <c r="R5" s="16" t="str">
        <f t="shared" si="0"/>
        <v>Thu</v>
      </c>
      <c r="S5" s="16" t="str">
        <f t="shared" si="0"/>
        <v>Fri</v>
      </c>
      <c r="T5" s="16" t="str">
        <f t="shared" si="0"/>
        <v>Sat</v>
      </c>
      <c r="U5" s="16" t="str">
        <f t="shared" si="0"/>
        <v>Sun</v>
      </c>
      <c r="V5" s="16" t="str">
        <f t="shared" si="0"/>
        <v>Mon</v>
      </c>
      <c r="W5" s="16" t="str">
        <f t="shared" si="0"/>
        <v>Tue</v>
      </c>
      <c r="X5" s="16" t="str">
        <f t="shared" si="0"/>
        <v>Wed</v>
      </c>
      <c r="Y5" s="16" t="str">
        <f t="shared" si="0"/>
        <v>Thu</v>
      </c>
      <c r="Z5" s="16" t="str">
        <f t="shared" si="0"/>
        <v>Fri</v>
      </c>
      <c r="AA5" s="16" t="str">
        <f t="shared" si="0"/>
        <v>Sat</v>
      </c>
      <c r="AB5" s="16" t="str">
        <f t="shared" si="0"/>
        <v>Sun</v>
      </c>
      <c r="AC5" s="16" t="str">
        <f t="shared" si="0"/>
        <v>Mon</v>
      </c>
      <c r="AD5" s="16" t="str">
        <f t="shared" si="0"/>
        <v>Tue</v>
      </c>
      <c r="AE5" s="16" t="str">
        <f t="shared" si="0"/>
        <v>Wed</v>
      </c>
      <c r="AF5" s="16" t="str">
        <f t="shared" si="0"/>
        <v>Thu</v>
      </c>
      <c r="AG5" s="16" t="str">
        <f t="shared" si="0"/>
        <v>Fri</v>
      </c>
      <c r="AH5" s="16" t="str">
        <f t="shared" si="0"/>
        <v>Sat</v>
      </c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6" spans="1:45" x14ac:dyDescent="0.35">
      <c r="A6" s="14"/>
      <c r="B6" s="14"/>
      <c r="C6" s="17" t="s">
        <v>58</v>
      </c>
      <c r="D6" s="16" t="str">
        <f>IF(D4="","",IF(COUNTIF(Setting!$E$4:$E$33,D4)&gt;0,"PH",IF(WEEKDAY(D4)=Setting!$B$8,"WO","")))</f>
        <v/>
      </c>
      <c r="E6" s="16" t="str">
        <f>IF(E4="","",IF(COUNTIF(Setting!$E$4:$E$33,E4)&gt;0,"PH",IF(WEEKDAY(E4)=Setting!$B$8,"WO","")))</f>
        <v/>
      </c>
      <c r="F6" s="16" t="str">
        <f>IF(F4="","",IF(COUNTIF(Setting!$E$4:$E$33,F4)&gt;0,"PH",IF(WEEKDAY(F4)=Setting!$B$8,"WO","")))</f>
        <v/>
      </c>
      <c r="G6" s="16" t="str">
        <f>IF(G4="","",IF(COUNTIF(Setting!$E$4:$E$33,G4)&gt;0,"PH",IF(WEEKDAY(G4)=Setting!$B$8,"WO","")))</f>
        <v>WO</v>
      </c>
      <c r="H6" s="16" t="str">
        <f>IF(H4="","",IF(COUNTIF(Setting!$E$4:$E$33,H4)&gt;0,"PH",IF(WEEKDAY(H4)=Setting!$B$8,"WO","")))</f>
        <v/>
      </c>
      <c r="I6" s="16" t="str">
        <f>IF(I4="","",IF(COUNTIF(Setting!$E$4:$E$33,I4)&gt;0,"PH",IF(WEEKDAY(I4)=Setting!$B$8,"WO","")))</f>
        <v/>
      </c>
      <c r="J6" s="16" t="str">
        <f>IF(J4="","",IF(COUNTIF(Setting!$E$4:$E$33,J4)&gt;0,"PH",IF(WEEKDAY(J4)=Setting!$B$8,"WO","")))</f>
        <v/>
      </c>
      <c r="K6" s="16" t="str">
        <f>IF(K4="","",IF(COUNTIF(Setting!$E$4:$E$33,K4)&gt;0,"PH",IF(WEEKDAY(K4)=Setting!$B$8,"WO","")))</f>
        <v/>
      </c>
      <c r="L6" s="16" t="str">
        <f>IF(L4="","",IF(COUNTIF(Setting!$E$4:$E$33,L4)&gt;0,"PH",IF(WEEKDAY(L4)=Setting!$B$8,"WO","")))</f>
        <v/>
      </c>
      <c r="M6" s="16" t="str">
        <f>IF(M4="","",IF(COUNTIF(Setting!$E$4:$E$33,M4)&gt;0,"PH",IF(WEEKDAY(M4)=Setting!$B$8,"WO","")))</f>
        <v/>
      </c>
      <c r="N6" s="16" t="str">
        <f>IF(N4="","",IF(COUNTIF(Setting!$E$4:$E$33,N4)&gt;0,"PH",IF(WEEKDAY(N4)=Setting!$B$8,"WO","")))</f>
        <v>WO</v>
      </c>
      <c r="O6" s="16" t="str">
        <f>IF(O4="","",IF(COUNTIF(Setting!$E$4:$E$33,O4)&gt;0,"PH",IF(WEEKDAY(O4)=Setting!$B$8,"WO","")))</f>
        <v/>
      </c>
      <c r="P6" s="16" t="str">
        <f>IF(P4="","",IF(COUNTIF(Setting!$E$4:$E$33,P4)&gt;0,"PH",IF(WEEKDAY(P4)=Setting!$B$8,"WO","")))</f>
        <v/>
      </c>
      <c r="Q6" s="16" t="str">
        <f>IF(Q4="","",IF(COUNTIF(Setting!$E$4:$E$33,Q4)&gt;0,"PH",IF(WEEKDAY(Q4)=Setting!$B$8,"WO","")))</f>
        <v/>
      </c>
      <c r="R6" s="16" t="str">
        <f>IF(R4="","",IF(COUNTIF(Setting!$E$4:$E$33,R4)&gt;0,"PH",IF(WEEKDAY(R4)=Setting!$B$8,"WO","")))</f>
        <v/>
      </c>
      <c r="S6" s="16" t="str">
        <f>IF(S4="","",IF(COUNTIF(Setting!$E$4:$E$33,S4)&gt;0,"PH",IF(WEEKDAY(S4)=Setting!$B$8,"WO","")))</f>
        <v/>
      </c>
      <c r="T6" s="16" t="str">
        <f>IF(T4="","",IF(COUNTIF(Setting!$E$4:$E$33,T4)&gt;0,"PH",IF(WEEKDAY(T4)=Setting!$B$8,"WO","")))</f>
        <v/>
      </c>
      <c r="U6" s="16" t="str">
        <f>IF(U4="","",IF(COUNTIF(Setting!$E$4:$E$33,U4)&gt;0,"PH",IF(WEEKDAY(U4)=Setting!$B$8,"WO","")))</f>
        <v>WO</v>
      </c>
      <c r="V6" s="16" t="str">
        <f>IF(V4="","",IF(COUNTIF(Setting!$E$4:$E$33,V4)&gt;0,"PH",IF(WEEKDAY(V4)=Setting!$B$8,"WO","")))</f>
        <v/>
      </c>
      <c r="W6" s="16" t="str">
        <f>IF(W4="","",IF(COUNTIF(Setting!$E$4:$E$33,W4)&gt;0,"PH",IF(WEEKDAY(W4)=Setting!$B$8,"WO","")))</f>
        <v/>
      </c>
      <c r="X6" s="16" t="str">
        <f>IF(X4="","",IF(COUNTIF(Setting!$E$4:$E$33,X4)&gt;0,"PH",IF(WEEKDAY(X4)=Setting!$B$8,"WO","")))</f>
        <v/>
      </c>
      <c r="Y6" s="16" t="str">
        <f>IF(Y4="","",IF(COUNTIF(Setting!$E$4:$E$33,Y4)&gt;0,"PH",IF(WEEKDAY(Y4)=Setting!$B$8,"WO","")))</f>
        <v/>
      </c>
      <c r="Z6" s="16" t="str">
        <f>IF(Z4="","",IF(COUNTIF(Setting!$E$4:$E$33,Z4)&gt;0,"PH",IF(WEEKDAY(Z4)=Setting!$B$8,"WO","")))</f>
        <v/>
      </c>
      <c r="AA6" s="16" t="str">
        <f>IF(AA4="","",IF(COUNTIF(Setting!$E$4:$E$33,AA4)&gt;0,"PH",IF(WEEKDAY(AA4)=Setting!$B$8,"WO","")))</f>
        <v/>
      </c>
      <c r="AB6" s="16" t="str">
        <f>IF(AB4="","",IF(COUNTIF(Setting!$E$4:$E$33,AB4)&gt;0,"PH",IF(WEEKDAY(AB4)=Setting!$B$8,"WO","")))</f>
        <v>WO</v>
      </c>
      <c r="AC6" s="16" t="str">
        <f>IF(AC4="","",IF(COUNTIF(Setting!$E$4:$E$33,AC4)&gt;0,"PH",IF(WEEKDAY(AC4)=Setting!$B$8,"WO","")))</f>
        <v/>
      </c>
      <c r="AD6" s="16" t="str">
        <f>IF(AD4="","",IF(COUNTIF(Setting!$E$4:$E$33,AD4)&gt;0,"PH",IF(WEEKDAY(AD4)=Setting!$B$8,"WO","")))</f>
        <v/>
      </c>
      <c r="AE6" s="16" t="str">
        <f>IF(AE4="","",IF(COUNTIF(Setting!$E$4:$E$33,AE4)&gt;0,"PH",IF(WEEKDAY(AE4)=Setting!$B$8,"WO","")))</f>
        <v/>
      </c>
      <c r="AF6" s="16" t="str">
        <f>IF(AF4="","",IF(COUNTIF(Setting!$E$4:$E$33,AF4)&gt;0,"PH",IF(WEEKDAY(AF4)=Setting!$B$8,"WO","")))</f>
        <v/>
      </c>
      <c r="AG6" s="16" t="str">
        <f>IF(AG4="","",IF(COUNTIF(Setting!$E$4:$E$33,AG4)&gt;0,"PH",IF(WEEKDAY(AG4)=Setting!$B$8,"WO","")))</f>
        <v/>
      </c>
      <c r="AH6" s="16" t="str">
        <f>IF(AH4="","",IF(COUNTIF(Setting!$E$4:$E$33,AH4)&gt;0,"PH",IF(WEEKDAY(AH4)=Setting!$B$8,"WO","")))</f>
        <v/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x14ac:dyDescent="0.35">
      <c r="A7" s="18">
        <f t="shared" ref="A7:A38" si="1">IF(B7="","",ROW()-6)</f>
        <v>1</v>
      </c>
      <c r="B7" s="19" t="str">
        <f>IF(Employee_List!A5="","",Employee_List!A5)</f>
        <v>EMP001</v>
      </c>
      <c r="C7" s="19" t="str">
        <f>IF(B7="","",Employee_List!B5)</f>
        <v>Sample Employee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1">
        <f t="shared" ref="AI7:AI38" si="2">IF($B7="","",COUNTIF($D7:$AH7,"P"))</f>
        <v>0</v>
      </c>
      <c r="AJ7" s="21">
        <f t="shared" ref="AJ7:AJ38" si="3">IF($B7="","",COUNTIF($D7:$AH7,"A"))</f>
        <v>0</v>
      </c>
      <c r="AK7" s="22">
        <f t="shared" ref="AK7:AK38" si="4">IF($B7="","",COUNTIF($D7:$AH7,"HD"))</f>
        <v>0</v>
      </c>
      <c r="AL7" s="21">
        <f t="shared" ref="AL7:AL38" si="5">IF($B7="","",COUNTIF($D7:$AH7,"WO")+SUMPRODUCT(($D7:$AH7="")*($D$6:$AH$6="WO")))</f>
        <v>4</v>
      </c>
      <c r="AM7" s="21">
        <f t="shared" ref="AM7:AM38" si="6">IF($B7="","",COUNTIF($D7:$AH7,"PH")+SUMPRODUCT(($D7:$AH7="")*($D$6:$AH$6="PH")))</f>
        <v>0</v>
      </c>
      <c r="AN7" s="21">
        <f t="shared" ref="AN7:AN38" si="7">IF($B7="","",COUNTIF($D7:$AH7,"CL"))</f>
        <v>0</v>
      </c>
      <c r="AO7" s="21">
        <f t="shared" ref="AO7:AO38" si="8">IF($B7="","",COUNTIF($D7:$AH7,"SL"))</f>
        <v>0</v>
      </c>
      <c r="AP7" s="21">
        <f t="shared" ref="AP7:AP38" si="9">IF($B7="","",COUNTIF($D7:$AH7,"PL"))</f>
        <v>0</v>
      </c>
      <c r="AQ7" s="23">
        <f t="shared" ref="AQ7:AQ38" si="10">IF($B7="","",AI7+0.5*AK7+AL7+AM7+AN7+AO7+AP7)</f>
        <v>4</v>
      </c>
      <c r="AR7" s="23">
        <f t="shared" ref="AR7:AR38" si="11">IF($B7="","",AJ7+0.5*AK7)</f>
        <v>0</v>
      </c>
      <c r="AS7" s="21">
        <f>IF($B7="","",Setting!$B$7-(AI7+AJ7+AK7+AL7+AM7+AN7+AO7+AP7))</f>
        <v>27</v>
      </c>
    </row>
    <row r="8" spans="1:45" x14ac:dyDescent="0.35">
      <c r="A8" s="18" t="str">
        <f t="shared" si="1"/>
        <v/>
      </c>
      <c r="B8" s="19" t="str">
        <f>IF(Employee_List!A6="","",Employee_List!A6)</f>
        <v/>
      </c>
      <c r="C8" s="19" t="str">
        <f>IF(B8="","",Employee_List!B6)</f>
        <v/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 t="str">
        <f t="shared" si="2"/>
        <v/>
      </c>
      <c r="AJ8" s="21" t="str">
        <f t="shared" si="3"/>
        <v/>
      </c>
      <c r="AK8" s="22" t="str">
        <f t="shared" si="4"/>
        <v/>
      </c>
      <c r="AL8" s="21" t="str">
        <f t="shared" si="5"/>
        <v/>
      </c>
      <c r="AM8" s="21" t="str">
        <f t="shared" si="6"/>
        <v/>
      </c>
      <c r="AN8" s="21" t="str">
        <f t="shared" si="7"/>
        <v/>
      </c>
      <c r="AO8" s="21" t="str">
        <f t="shared" si="8"/>
        <v/>
      </c>
      <c r="AP8" s="21" t="str">
        <f t="shared" si="9"/>
        <v/>
      </c>
      <c r="AQ8" s="23" t="str">
        <f t="shared" si="10"/>
        <v/>
      </c>
      <c r="AR8" s="23" t="str">
        <f t="shared" si="11"/>
        <v/>
      </c>
      <c r="AS8" s="21" t="str">
        <f>IF($B8="","",Setting!$B$7-(AI8+AJ8+AK8+AL8+AM8+AN8+AO8+AP8))</f>
        <v/>
      </c>
    </row>
    <row r="9" spans="1:45" x14ac:dyDescent="0.35">
      <c r="A9" s="18" t="str">
        <f t="shared" si="1"/>
        <v/>
      </c>
      <c r="B9" s="19" t="str">
        <f>IF(Employee_List!A7="","",Employee_List!A7)</f>
        <v/>
      </c>
      <c r="C9" s="19" t="str">
        <f>IF(B9="","",Employee_List!B7)</f>
        <v/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1" t="str">
        <f t="shared" si="2"/>
        <v/>
      </c>
      <c r="AJ9" s="21" t="str">
        <f t="shared" si="3"/>
        <v/>
      </c>
      <c r="AK9" s="22" t="str">
        <f t="shared" si="4"/>
        <v/>
      </c>
      <c r="AL9" s="21" t="str">
        <f t="shared" si="5"/>
        <v/>
      </c>
      <c r="AM9" s="21" t="str">
        <f t="shared" si="6"/>
        <v/>
      </c>
      <c r="AN9" s="21" t="str">
        <f t="shared" si="7"/>
        <v/>
      </c>
      <c r="AO9" s="21" t="str">
        <f t="shared" si="8"/>
        <v/>
      </c>
      <c r="AP9" s="21" t="str">
        <f t="shared" si="9"/>
        <v/>
      </c>
      <c r="AQ9" s="23" t="str">
        <f t="shared" si="10"/>
        <v/>
      </c>
      <c r="AR9" s="23" t="str">
        <f t="shared" si="11"/>
        <v/>
      </c>
      <c r="AS9" s="21" t="str">
        <f>IF($B9="","",Setting!$B$7-(AI9+AJ9+AK9+AL9+AM9+AN9+AO9+AP9))</f>
        <v/>
      </c>
    </row>
    <row r="10" spans="1:45" x14ac:dyDescent="0.35">
      <c r="A10" s="18" t="str">
        <f t="shared" si="1"/>
        <v/>
      </c>
      <c r="B10" s="19" t="str">
        <f>IF(Employee_List!A8="","",Employee_List!A8)</f>
        <v/>
      </c>
      <c r="C10" s="19" t="str">
        <f>IF(B10="","",Employee_List!B8)</f>
        <v/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1" t="str">
        <f t="shared" si="2"/>
        <v/>
      </c>
      <c r="AJ10" s="21" t="str">
        <f t="shared" si="3"/>
        <v/>
      </c>
      <c r="AK10" s="22" t="str">
        <f t="shared" si="4"/>
        <v/>
      </c>
      <c r="AL10" s="21" t="str">
        <f t="shared" si="5"/>
        <v/>
      </c>
      <c r="AM10" s="21" t="str">
        <f t="shared" si="6"/>
        <v/>
      </c>
      <c r="AN10" s="21" t="str">
        <f t="shared" si="7"/>
        <v/>
      </c>
      <c r="AO10" s="21" t="str">
        <f t="shared" si="8"/>
        <v/>
      </c>
      <c r="AP10" s="21" t="str">
        <f t="shared" si="9"/>
        <v/>
      </c>
      <c r="AQ10" s="23" t="str">
        <f t="shared" si="10"/>
        <v/>
      </c>
      <c r="AR10" s="23" t="str">
        <f t="shared" si="11"/>
        <v/>
      </c>
      <c r="AS10" s="21" t="str">
        <f>IF($B10="","",Setting!$B$7-(AI10+AJ10+AK10+AL10+AM10+AN10+AO10+AP10))</f>
        <v/>
      </c>
    </row>
    <row r="11" spans="1:45" x14ac:dyDescent="0.35">
      <c r="A11" s="18" t="str">
        <f t="shared" si="1"/>
        <v/>
      </c>
      <c r="B11" s="19" t="str">
        <f>IF(Employee_List!A9="","",Employee_List!A9)</f>
        <v/>
      </c>
      <c r="C11" s="19" t="str">
        <f>IF(B11="","",Employee_List!B9)</f>
        <v/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1" t="str">
        <f t="shared" si="2"/>
        <v/>
      </c>
      <c r="AJ11" s="21" t="str">
        <f t="shared" si="3"/>
        <v/>
      </c>
      <c r="AK11" s="22" t="str">
        <f t="shared" si="4"/>
        <v/>
      </c>
      <c r="AL11" s="21" t="str">
        <f t="shared" si="5"/>
        <v/>
      </c>
      <c r="AM11" s="21" t="str">
        <f t="shared" si="6"/>
        <v/>
      </c>
      <c r="AN11" s="21" t="str">
        <f t="shared" si="7"/>
        <v/>
      </c>
      <c r="AO11" s="21" t="str">
        <f t="shared" si="8"/>
        <v/>
      </c>
      <c r="AP11" s="21" t="str">
        <f t="shared" si="9"/>
        <v/>
      </c>
      <c r="AQ11" s="23" t="str">
        <f t="shared" si="10"/>
        <v/>
      </c>
      <c r="AR11" s="23" t="str">
        <f t="shared" si="11"/>
        <v/>
      </c>
      <c r="AS11" s="21" t="str">
        <f>IF($B11="","",Setting!$B$7-(AI11+AJ11+AK11+AL11+AM11+AN11+AO11+AP11))</f>
        <v/>
      </c>
    </row>
    <row r="12" spans="1:45" x14ac:dyDescent="0.35">
      <c r="A12" s="18" t="str">
        <f t="shared" si="1"/>
        <v/>
      </c>
      <c r="B12" s="19" t="str">
        <f>IF(Employee_List!A10="","",Employee_List!A10)</f>
        <v/>
      </c>
      <c r="C12" s="19" t="str">
        <f>IF(B12="","",Employee_List!B10)</f>
        <v/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1" t="str">
        <f t="shared" si="2"/>
        <v/>
      </c>
      <c r="AJ12" s="21" t="str">
        <f t="shared" si="3"/>
        <v/>
      </c>
      <c r="AK12" s="22" t="str">
        <f t="shared" si="4"/>
        <v/>
      </c>
      <c r="AL12" s="21" t="str">
        <f t="shared" si="5"/>
        <v/>
      </c>
      <c r="AM12" s="21" t="str">
        <f t="shared" si="6"/>
        <v/>
      </c>
      <c r="AN12" s="21" t="str">
        <f t="shared" si="7"/>
        <v/>
      </c>
      <c r="AO12" s="21" t="str">
        <f t="shared" si="8"/>
        <v/>
      </c>
      <c r="AP12" s="21" t="str">
        <f t="shared" si="9"/>
        <v/>
      </c>
      <c r="AQ12" s="23" t="str">
        <f t="shared" si="10"/>
        <v/>
      </c>
      <c r="AR12" s="23" t="str">
        <f t="shared" si="11"/>
        <v/>
      </c>
      <c r="AS12" s="21" t="str">
        <f>IF($B12="","",Setting!$B$7-(AI12+AJ12+AK12+AL12+AM12+AN12+AO12+AP12))</f>
        <v/>
      </c>
    </row>
    <row r="13" spans="1:45" x14ac:dyDescent="0.35">
      <c r="A13" s="18" t="str">
        <f t="shared" si="1"/>
        <v/>
      </c>
      <c r="B13" s="19" t="str">
        <f>IF(Employee_List!A11="","",Employee_List!A11)</f>
        <v/>
      </c>
      <c r="C13" s="19" t="str">
        <f>IF(B13="","",Employee_List!B11)</f>
        <v/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1" t="str">
        <f t="shared" si="2"/>
        <v/>
      </c>
      <c r="AJ13" s="21" t="str">
        <f t="shared" si="3"/>
        <v/>
      </c>
      <c r="AK13" s="22" t="str">
        <f t="shared" si="4"/>
        <v/>
      </c>
      <c r="AL13" s="21" t="str">
        <f t="shared" si="5"/>
        <v/>
      </c>
      <c r="AM13" s="21" t="str">
        <f t="shared" si="6"/>
        <v/>
      </c>
      <c r="AN13" s="21" t="str">
        <f t="shared" si="7"/>
        <v/>
      </c>
      <c r="AO13" s="21" t="str">
        <f t="shared" si="8"/>
        <v/>
      </c>
      <c r="AP13" s="21" t="str">
        <f t="shared" si="9"/>
        <v/>
      </c>
      <c r="AQ13" s="23" t="str">
        <f t="shared" si="10"/>
        <v/>
      </c>
      <c r="AR13" s="23" t="str">
        <f t="shared" si="11"/>
        <v/>
      </c>
      <c r="AS13" s="21" t="str">
        <f>IF($B13="","",Setting!$B$7-(AI13+AJ13+AK13+AL13+AM13+AN13+AO13+AP13))</f>
        <v/>
      </c>
    </row>
    <row r="14" spans="1:45" x14ac:dyDescent="0.35">
      <c r="A14" s="18" t="str">
        <f t="shared" si="1"/>
        <v/>
      </c>
      <c r="B14" s="19" t="str">
        <f>IF(Employee_List!A12="","",Employee_List!A12)</f>
        <v/>
      </c>
      <c r="C14" s="19" t="str">
        <f>IF(B14="","",Employee_List!B12)</f>
        <v/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1" t="str">
        <f t="shared" si="2"/>
        <v/>
      </c>
      <c r="AJ14" s="21" t="str">
        <f t="shared" si="3"/>
        <v/>
      </c>
      <c r="AK14" s="22" t="str">
        <f t="shared" si="4"/>
        <v/>
      </c>
      <c r="AL14" s="21" t="str">
        <f t="shared" si="5"/>
        <v/>
      </c>
      <c r="AM14" s="21" t="str">
        <f t="shared" si="6"/>
        <v/>
      </c>
      <c r="AN14" s="21" t="str">
        <f t="shared" si="7"/>
        <v/>
      </c>
      <c r="AO14" s="21" t="str">
        <f t="shared" si="8"/>
        <v/>
      </c>
      <c r="AP14" s="21" t="str">
        <f t="shared" si="9"/>
        <v/>
      </c>
      <c r="AQ14" s="23" t="str">
        <f t="shared" si="10"/>
        <v/>
      </c>
      <c r="AR14" s="23" t="str">
        <f t="shared" si="11"/>
        <v/>
      </c>
      <c r="AS14" s="21" t="str">
        <f>IF($B14="","",Setting!$B$7-(AI14+AJ14+AK14+AL14+AM14+AN14+AO14+AP14))</f>
        <v/>
      </c>
    </row>
    <row r="15" spans="1:45" x14ac:dyDescent="0.35">
      <c r="A15" s="18" t="str">
        <f t="shared" si="1"/>
        <v/>
      </c>
      <c r="B15" s="19" t="str">
        <f>IF(Employee_List!A13="","",Employee_List!A13)</f>
        <v/>
      </c>
      <c r="C15" s="19" t="str">
        <f>IF(B15="","",Employee_List!B13)</f>
        <v/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1" t="str">
        <f t="shared" si="2"/>
        <v/>
      </c>
      <c r="AJ15" s="21" t="str">
        <f t="shared" si="3"/>
        <v/>
      </c>
      <c r="AK15" s="22" t="str">
        <f t="shared" si="4"/>
        <v/>
      </c>
      <c r="AL15" s="21" t="str">
        <f t="shared" si="5"/>
        <v/>
      </c>
      <c r="AM15" s="21" t="str">
        <f t="shared" si="6"/>
        <v/>
      </c>
      <c r="AN15" s="21" t="str">
        <f t="shared" si="7"/>
        <v/>
      </c>
      <c r="AO15" s="21" t="str">
        <f t="shared" si="8"/>
        <v/>
      </c>
      <c r="AP15" s="21" t="str">
        <f t="shared" si="9"/>
        <v/>
      </c>
      <c r="AQ15" s="23" t="str">
        <f t="shared" si="10"/>
        <v/>
      </c>
      <c r="AR15" s="23" t="str">
        <f t="shared" si="11"/>
        <v/>
      </c>
      <c r="AS15" s="21" t="str">
        <f>IF($B15="","",Setting!$B$7-(AI15+AJ15+AK15+AL15+AM15+AN15+AO15+AP15))</f>
        <v/>
      </c>
    </row>
    <row r="16" spans="1:45" x14ac:dyDescent="0.35">
      <c r="A16" s="18" t="str">
        <f t="shared" si="1"/>
        <v/>
      </c>
      <c r="B16" s="19" t="str">
        <f>IF(Employee_List!A14="","",Employee_List!A14)</f>
        <v/>
      </c>
      <c r="C16" s="19" t="str">
        <f>IF(B16="","",Employee_List!B14)</f>
        <v/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1" t="str">
        <f t="shared" si="2"/>
        <v/>
      </c>
      <c r="AJ16" s="21" t="str">
        <f t="shared" si="3"/>
        <v/>
      </c>
      <c r="AK16" s="22" t="str">
        <f t="shared" si="4"/>
        <v/>
      </c>
      <c r="AL16" s="21" t="str">
        <f t="shared" si="5"/>
        <v/>
      </c>
      <c r="AM16" s="21" t="str">
        <f t="shared" si="6"/>
        <v/>
      </c>
      <c r="AN16" s="21" t="str">
        <f t="shared" si="7"/>
        <v/>
      </c>
      <c r="AO16" s="21" t="str">
        <f t="shared" si="8"/>
        <v/>
      </c>
      <c r="AP16" s="21" t="str">
        <f t="shared" si="9"/>
        <v/>
      </c>
      <c r="AQ16" s="23" t="str">
        <f t="shared" si="10"/>
        <v/>
      </c>
      <c r="AR16" s="23" t="str">
        <f t="shared" si="11"/>
        <v/>
      </c>
      <c r="AS16" s="21" t="str">
        <f>IF($B16="","",Setting!$B$7-(AI16+AJ16+AK16+AL16+AM16+AN16+AO16+AP16))</f>
        <v/>
      </c>
    </row>
    <row r="17" spans="1:45" x14ac:dyDescent="0.35">
      <c r="A17" s="18" t="str">
        <f t="shared" si="1"/>
        <v/>
      </c>
      <c r="B17" s="19" t="str">
        <f>IF(Employee_List!A15="","",Employee_List!A15)</f>
        <v/>
      </c>
      <c r="C17" s="19" t="str">
        <f>IF(B17="","",Employee_List!B15)</f>
        <v/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1" t="str">
        <f t="shared" si="2"/>
        <v/>
      </c>
      <c r="AJ17" s="21" t="str">
        <f t="shared" si="3"/>
        <v/>
      </c>
      <c r="AK17" s="22" t="str">
        <f t="shared" si="4"/>
        <v/>
      </c>
      <c r="AL17" s="21" t="str">
        <f t="shared" si="5"/>
        <v/>
      </c>
      <c r="AM17" s="21" t="str">
        <f t="shared" si="6"/>
        <v/>
      </c>
      <c r="AN17" s="21" t="str">
        <f t="shared" si="7"/>
        <v/>
      </c>
      <c r="AO17" s="21" t="str">
        <f t="shared" si="8"/>
        <v/>
      </c>
      <c r="AP17" s="21" t="str">
        <f t="shared" si="9"/>
        <v/>
      </c>
      <c r="AQ17" s="23" t="str">
        <f t="shared" si="10"/>
        <v/>
      </c>
      <c r="AR17" s="23" t="str">
        <f t="shared" si="11"/>
        <v/>
      </c>
      <c r="AS17" s="21" t="str">
        <f>IF($B17="","",Setting!$B$7-(AI17+AJ17+AK17+AL17+AM17+AN17+AO17+AP17))</f>
        <v/>
      </c>
    </row>
    <row r="18" spans="1:45" x14ac:dyDescent="0.35">
      <c r="A18" s="18" t="str">
        <f t="shared" si="1"/>
        <v/>
      </c>
      <c r="B18" s="19" t="str">
        <f>IF(Employee_List!A16="","",Employee_List!A16)</f>
        <v/>
      </c>
      <c r="C18" s="19" t="str">
        <f>IF(B18="","",Employee_List!B16)</f>
        <v/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1" t="str">
        <f t="shared" si="2"/>
        <v/>
      </c>
      <c r="AJ18" s="21" t="str">
        <f t="shared" si="3"/>
        <v/>
      </c>
      <c r="AK18" s="22" t="str">
        <f t="shared" si="4"/>
        <v/>
      </c>
      <c r="AL18" s="21" t="str">
        <f t="shared" si="5"/>
        <v/>
      </c>
      <c r="AM18" s="21" t="str">
        <f t="shared" si="6"/>
        <v/>
      </c>
      <c r="AN18" s="21" t="str">
        <f t="shared" si="7"/>
        <v/>
      </c>
      <c r="AO18" s="21" t="str">
        <f t="shared" si="8"/>
        <v/>
      </c>
      <c r="AP18" s="21" t="str">
        <f t="shared" si="9"/>
        <v/>
      </c>
      <c r="AQ18" s="23" t="str">
        <f t="shared" si="10"/>
        <v/>
      </c>
      <c r="AR18" s="23" t="str">
        <f t="shared" si="11"/>
        <v/>
      </c>
      <c r="AS18" s="21" t="str">
        <f>IF($B18="","",Setting!$B$7-(AI18+AJ18+AK18+AL18+AM18+AN18+AO18+AP18))</f>
        <v/>
      </c>
    </row>
    <row r="19" spans="1:45" x14ac:dyDescent="0.35">
      <c r="A19" s="18" t="str">
        <f t="shared" si="1"/>
        <v/>
      </c>
      <c r="B19" s="19" t="str">
        <f>IF(Employee_List!A17="","",Employee_List!A17)</f>
        <v/>
      </c>
      <c r="C19" s="19" t="str">
        <f>IF(B19="","",Employee_List!B17)</f>
        <v/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1" t="str">
        <f t="shared" si="2"/>
        <v/>
      </c>
      <c r="AJ19" s="21" t="str">
        <f t="shared" si="3"/>
        <v/>
      </c>
      <c r="AK19" s="22" t="str">
        <f t="shared" si="4"/>
        <v/>
      </c>
      <c r="AL19" s="21" t="str">
        <f t="shared" si="5"/>
        <v/>
      </c>
      <c r="AM19" s="21" t="str">
        <f t="shared" si="6"/>
        <v/>
      </c>
      <c r="AN19" s="21" t="str">
        <f t="shared" si="7"/>
        <v/>
      </c>
      <c r="AO19" s="21" t="str">
        <f t="shared" si="8"/>
        <v/>
      </c>
      <c r="AP19" s="21" t="str">
        <f t="shared" si="9"/>
        <v/>
      </c>
      <c r="AQ19" s="23" t="str">
        <f t="shared" si="10"/>
        <v/>
      </c>
      <c r="AR19" s="23" t="str">
        <f t="shared" si="11"/>
        <v/>
      </c>
      <c r="AS19" s="21" t="str">
        <f>IF($B19="","",Setting!$B$7-(AI19+AJ19+AK19+AL19+AM19+AN19+AO19+AP19))</f>
        <v/>
      </c>
    </row>
    <row r="20" spans="1:45" x14ac:dyDescent="0.35">
      <c r="A20" s="18" t="str">
        <f t="shared" si="1"/>
        <v/>
      </c>
      <c r="B20" s="19" t="str">
        <f>IF(Employee_List!A18="","",Employee_List!A18)</f>
        <v/>
      </c>
      <c r="C20" s="19" t="str">
        <f>IF(B20="","",Employee_List!B18)</f>
        <v/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1" t="str">
        <f t="shared" si="2"/>
        <v/>
      </c>
      <c r="AJ20" s="21" t="str">
        <f t="shared" si="3"/>
        <v/>
      </c>
      <c r="AK20" s="22" t="str">
        <f t="shared" si="4"/>
        <v/>
      </c>
      <c r="AL20" s="21" t="str">
        <f t="shared" si="5"/>
        <v/>
      </c>
      <c r="AM20" s="21" t="str">
        <f t="shared" si="6"/>
        <v/>
      </c>
      <c r="AN20" s="21" t="str">
        <f t="shared" si="7"/>
        <v/>
      </c>
      <c r="AO20" s="21" t="str">
        <f t="shared" si="8"/>
        <v/>
      </c>
      <c r="AP20" s="21" t="str">
        <f t="shared" si="9"/>
        <v/>
      </c>
      <c r="AQ20" s="23" t="str">
        <f t="shared" si="10"/>
        <v/>
      </c>
      <c r="AR20" s="23" t="str">
        <f t="shared" si="11"/>
        <v/>
      </c>
      <c r="AS20" s="21" t="str">
        <f>IF($B20="","",Setting!$B$7-(AI20+AJ20+AK20+AL20+AM20+AN20+AO20+AP20))</f>
        <v/>
      </c>
    </row>
    <row r="21" spans="1:45" x14ac:dyDescent="0.35">
      <c r="A21" s="18" t="str">
        <f t="shared" si="1"/>
        <v/>
      </c>
      <c r="B21" s="19" t="str">
        <f>IF(Employee_List!A19="","",Employee_List!A19)</f>
        <v/>
      </c>
      <c r="C21" s="19" t="str">
        <f>IF(B21="","",Employee_List!B19)</f>
        <v/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1" t="str">
        <f t="shared" si="2"/>
        <v/>
      </c>
      <c r="AJ21" s="21" t="str">
        <f t="shared" si="3"/>
        <v/>
      </c>
      <c r="AK21" s="22" t="str">
        <f t="shared" si="4"/>
        <v/>
      </c>
      <c r="AL21" s="21" t="str">
        <f t="shared" si="5"/>
        <v/>
      </c>
      <c r="AM21" s="21" t="str">
        <f t="shared" si="6"/>
        <v/>
      </c>
      <c r="AN21" s="21" t="str">
        <f t="shared" si="7"/>
        <v/>
      </c>
      <c r="AO21" s="21" t="str">
        <f t="shared" si="8"/>
        <v/>
      </c>
      <c r="AP21" s="21" t="str">
        <f t="shared" si="9"/>
        <v/>
      </c>
      <c r="AQ21" s="23" t="str">
        <f t="shared" si="10"/>
        <v/>
      </c>
      <c r="AR21" s="23" t="str">
        <f t="shared" si="11"/>
        <v/>
      </c>
      <c r="AS21" s="21" t="str">
        <f>IF($B21="","",Setting!$B$7-(AI21+AJ21+AK21+AL21+AM21+AN21+AO21+AP21))</f>
        <v/>
      </c>
    </row>
    <row r="22" spans="1:45" x14ac:dyDescent="0.35">
      <c r="A22" s="18" t="str">
        <f t="shared" si="1"/>
        <v/>
      </c>
      <c r="B22" s="19" t="str">
        <f>IF(Employee_List!A20="","",Employee_List!A20)</f>
        <v/>
      </c>
      <c r="C22" s="19" t="str">
        <f>IF(B22="","",Employee_List!B20)</f>
        <v/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 t="str">
        <f t="shared" si="2"/>
        <v/>
      </c>
      <c r="AJ22" s="21" t="str">
        <f t="shared" si="3"/>
        <v/>
      </c>
      <c r="AK22" s="22" t="str">
        <f t="shared" si="4"/>
        <v/>
      </c>
      <c r="AL22" s="21" t="str">
        <f t="shared" si="5"/>
        <v/>
      </c>
      <c r="AM22" s="21" t="str">
        <f t="shared" si="6"/>
        <v/>
      </c>
      <c r="AN22" s="21" t="str">
        <f t="shared" si="7"/>
        <v/>
      </c>
      <c r="AO22" s="21" t="str">
        <f t="shared" si="8"/>
        <v/>
      </c>
      <c r="AP22" s="21" t="str">
        <f t="shared" si="9"/>
        <v/>
      </c>
      <c r="AQ22" s="23" t="str">
        <f t="shared" si="10"/>
        <v/>
      </c>
      <c r="AR22" s="23" t="str">
        <f t="shared" si="11"/>
        <v/>
      </c>
      <c r="AS22" s="21" t="str">
        <f>IF($B22="","",Setting!$B$7-(AI22+AJ22+AK22+AL22+AM22+AN22+AO22+AP22))</f>
        <v/>
      </c>
    </row>
    <row r="23" spans="1:45" x14ac:dyDescent="0.35">
      <c r="A23" s="18" t="str">
        <f t="shared" si="1"/>
        <v/>
      </c>
      <c r="B23" s="19" t="str">
        <f>IF(Employee_List!A21="","",Employee_List!A21)</f>
        <v/>
      </c>
      <c r="C23" s="19" t="str">
        <f>IF(B23="","",Employee_List!B21)</f>
        <v/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 t="str">
        <f t="shared" si="2"/>
        <v/>
      </c>
      <c r="AJ23" s="21" t="str">
        <f t="shared" si="3"/>
        <v/>
      </c>
      <c r="AK23" s="22" t="str">
        <f t="shared" si="4"/>
        <v/>
      </c>
      <c r="AL23" s="21" t="str">
        <f t="shared" si="5"/>
        <v/>
      </c>
      <c r="AM23" s="21" t="str">
        <f t="shared" si="6"/>
        <v/>
      </c>
      <c r="AN23" s="21" t="str">
        <f t="shared" si="7"/>
        <v/>
      </c>
      <c r="AO23" s="21" t="str">
        <f t="shared" si="8"/>
        <v/>
      </c>
      <c r="AP23" s="21" t="str">
        <f t="shared" si="9"/>
        <v/>
      </c>
      <c r="AQ23" s="23" t="str">
        <f t="shared" si="10"/>
        <v/>
      </c>
      <c r="AR23" s="23" t="str">
        <f t="shared" si="11"/>
        <v/>
      </c>
      <c r="AS23" s="21" t="str">
        <f>IF($B23="","",Setting!$B$7-(AI23+AJ23+AK23+AL23+AM23+AN23+AO23+AP23))</f>
        <v/>
      </c>
    </row>
    <row r="24" spans="1:45" x14ac:dyDescent="0.35">
      <c r="A24" s="18" t="str">
        <f t="shared" si="1"/>
        <v/>
      </c>
      <c r="B24" s="19" t="str">
        <f>IF(Employee_List!A22="","",Employee_List!A22)</f>
        <v/>
      </c>
      <c r="C24" s="19" t="str">
        <f>IF(B24="","",Employee_List!B22)</f>
        <v/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 t="str">
        <f t="shared" si="2"/>
        <v/>
      </c>
      <c r="AJ24" s="21" t="str">
        <f t="shared" si="3"/>
        <v/>
      </c>
      <c r="AK24" s="22" t="str">
        <f t="shared" si="4"/>
        <v/>
      </c>
      <c r="AL24" s="21" t="str">
        <f t="shared" si="5"/>
        <v/>
      </c>
      <c r="AM24" s="21" t="str">
        <f t="shared" si="6"/>
        <v/>
      </c>
      <c r="AN24" s="21" t="str">
        <f t="shared" si="7"/>
        <v/>
      </c>
      <c r="AO24" s="21" t="str">
        <f t="shared" si="8"/>
        <v/>
      </c>
      <c r="AP24" s="21" t="str">
        <f t="shared" si="9"/>
        <v/>
      </c>
      <c r="AQ24" s="23" t="str">
        <f t="shared" si="10"/>
        <v/>
      </c>
      <c r="AR24" s="23" t="str">
        <f t="shared" si="11"/>
        <v/>
      </c>
      <c r="AS24" s="21" t="str">
        <f>IF($B24="","",Setting!$B$7-(AI24+AJ24+AK24+AL24+AM24+AN24+AO24+AP24))</f>
        <v/>
      </c>
    </row>
    <row r="25" spans="1:45" x14ac:dyDescent="0.35">
      <c r="A25" s="18" t="str">
        <f t="shared" si="1"/>
        <v/>
      </c>
      <c r="B25" s="19" t="str">
        <f>IF(Employee_List!A23="","",Employee_List!A23)</f>
        <v/>
      </c>
      <c r="C25" s="19" t="str">
        <f>IF(B25="","",Employee_List!B23)</f>
        <v/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 t="str">
        <f t="shared" si="2"/>
        <v/>
      </c>
      <c r="AJ25" s="21" t="str">
        <f t="shared" si="3"/>
        <v/>
      </c>
      <c r="AK25" s="22" t="str">
        <f t="shared" si="4"/>
        <v/>
      </c>
      <c r="AL25" s="21" t="str">
        <f t="shared" si="5"/>
        <v/>
      </c>
      <c r="AM25" s="21" t="str">
        <f t="shared" si="6"/>
        <v/>
      </c>
      <c r="AN25" s="21" t="str">
        <f t="shared" si="7"/>
        <v/>
      </c>
      <c r="AO25" s="21" t="str">
        <f t="shared" si="8"/>
        <v/>
      </c>
      <c r="AP25" s="21" t="str">
        <f t="shared" si="9"/>
        <v/>
      </c>
      <c r="AQ25" s="23" t="str">
        <f t="shared" si="10"/>
        <v/>
      </c>
      <c r="AR25" s="23" t="str">
        <f t="shared" si="11"/>
        <v/>
      </c>
      <c r="AS25" s="21" t="str">
        <f>IF($B25="","",Setting!$B$7-(AI25+AJ25+AK25+AL25+AM25+AN25+AO25+AP25))</f>
        <v/>
      </c>
    </row>
    <row r="26" spans="1:45" x14ac:dyDescent="0.35">
      <c r="A26" s="18" t="str">
        <f t="shared" si="1"/>
        <v/>
      </c>
      <c r="B26" s="19" t="str">
        <f>IF(Employee_List!A24="","",Employee_List!A24)</f>
        <v/>
      </c>
      <c r="C26" s="19" t="str">
        <f>IF(B26="","",Employee_List!B24)</f>
        <v/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 t="str">
        <f t="shared" si="2"/>
        <v/>
      </c>
      <c r="AJ26" s="21" t="str">
        <f t="shared" si="3"/>
        <v/>
      </c>
      <c r="AK26" s="22" t="str">
        <f t="shared" si="4"/>
        <v/>
      </c>
      <c r="AL26" s="21" t="str">
        <f t="shared" si="5"/>
        <v/>
      </c>
      <c r="AM26" s="21" t="str">
        <f t="shared" si="6"/>
        <v/>
      </c>
      <c r="AN26" s="21" t="str">
        <f t="shared" si="7"/>
        <v/>
      </c>
      <c r="AO26" s="21" t="str">
        <f t="shared" si="8"/>
        <v/>
      </c>
      <c r="AP26" s="21" t="str">
        <f t="shared" si="9"/>
        <v/>
      </c>
      <c r="AQ26" s="23" t="str">
        <f t="shared" si="10"/>
        <v/>
      </c>
      <c r="AR26" s="23" t="str">
        <f t="shared" si="11"/>
        <v/>
      </c>
      <c r="AS26" s="21" t="str">
        <f>IF($B26="","",Setting!$B$7-(AI26+AJ26+AK26+AL26+AM26+AN26+AO26+AP26))</f>
        <v/>
      </c>
    </row>
    <row r="27" spans="1:45" x14ac:dyDescent="0.35">
      <c r="A27" s="18" t="str">
        <f t="shared" si="1"/>
        <v/>
      </c>
      <c r="B27" s="19" t="str">
        <f>IF(Employee_List!A25="","",Employee_List!A25)</f>
        <v/>
      </c>
      <c r="C27" s="19" t="str">
        <f>IF(B27="","",Employee_List!B25)</f>
        <v/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1" t="str">
        <f t="shared" si="2"/>
        <v/>
      </c>
      <c r="AJ27" s="21" t="str">
        <f t="shared" si="3"/>
        <v/>
      </c>
      <c r="AK27" s="22" t="str">
        <f t="shared" si="4"/>
        <v/>
      </c>
      <c r="AL27" s="21" t="str">
        <f t="shared" si="5"/>
        <v/>
      </c>
      <c r="AM27" s="21" t="str">
        <f t="shared" si="6"/>
        <v/>
      </c>
      <c r="AN27" s="21" t="str">
        <f t="shared" si="7"/>
        <v/>
      </c>
      <c r="AO27" s="21" t="str">
        <f t="shared" si="8"/>
        <v/>
      </c>
      <c r="AP27" s="21" t="str">
        <f t="shared" si="9"/>
        <v/>
      </c>
      <c r="AQ27" s="23" t="str">
        <f t="shared" si="10"/>
        <v/>
      </c>
      <c r="AR27" s="23" t="str">
        <f t="shared" si="11"/>
        <v/>
      </c>
      <c r="AS27" s="21" t="str">
        <f>IF($B27="","",Setting!$B$7-(AI27+AJ27+AK27+AL27+AM27+AN27+AO27+AP27))</f>
        <v/>
      </c>
    </row>
    <row r="28" spans="1:45" x14ac:dyDescent="0.35">
      <c r="A28" s="18" t="str">
        <f t="shared" si="1"/>
        <v/>
      </c>
      <c r="B28" s="19" t="str">
        <f>IF(Employee_List!A26="","",Employee_List!A26)</f>
        <v/>
      </c>
      <c r="C28" s="19" t="str">
        <f>IF(B28="","",Employee_List!B26)</f>
        <v/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1" t="str">
        <f t="shared" si="2"/>
        <v/>
      </c>
      <c r="AJ28" s="21" t="str">
        <f t="shared" si="3"/>
        <v/>
      </c>
      <c r="AK28" s="22" t="str">
        <f t="shared" si="4"/>
        <v/>
      </c>
      <c r="AL28" s="21" t="str">
        <f t="shared" si="5"/>
        <v/>
      </c>
      <c r="AM28" s="21" t="str">
        <f t="shared" si="6"/>
        <v/>
      </c>
      <c r="AN28" s="21" t="str">
        <f t="shared" si="7"/>
        <v/>
      </c>
      <c r="AO28" s="21" t="str">
        <f t="shared" si="8"/>
        <v/>
      </c>
      <c r="AP28" s="21" t="str">
        <f t="shared" si="9"/>
        <v/>
      </c>
      <c r="AQ28" s="23" t="str">
        <f t="shared" si="10"/>
        <v/>
      </c>
      <c r="AR28" s="23" t="str">
        <f t="shared" si="11"/>
        <v/>
      </c>
      <c r="AS28" s="21" t="str">
        <f>IF($B28="","",Setting!$B$7-(AI28+AJ28+AK28+AL28+AM28+AN28+AO28+AP28))</f>
        <v/>
      </c>
    </row>
    <row r="29" spans="1:45" x14ac:dyDescent="0.35">
      <c r="A29" s="18" t="str">
        <f t="shared" si="1"/>
        <v/>
      </c>
      <c r="B29" s="19" t="str">
        <f>IF(Employee_List!A27="","",Employee_List!A27)</f>
        <v/>
      </c>
      <c r="C29" s="19" t="str">
        <f>IF(B29="","",Employee_List!B27)</f>
        <v/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1" t="str">
        <f t="shared" si="2"/>
        <v/>
      </c>
      <c r="AJ29" s="21" t="str">
        <f t="shared" si="3"/>
        <v/>
      </c>
      <c r="AK29" s="22" t="str">
        <f t="shared" si="4"/>
        <v/>
      </c>
      <c r="AL29" s="21" t="str">
        <f t="shared" si="5"/>
        <v/>
      </c>
      <c r="AM29" s="21" t="str">
        <f t="shared" si="6"/>
        <v/>
      </c>
      <c r="AN29" s="21" t="str">
        <f t="shared" si="7"/>
        <v/>
      </c>
      <c r="AO29" s="21" t="str">
        <f t="shared" si="8"/>
        <v/>
      </c>
      <c r="AP29" s="21" t="str">
        <f t="shared" si="9"/>
        <v/>
      </c>
      <c r="AQ29" s="23" t="str">
        <f t="shared" si="10"/>
        <v/>
      </c>
      <c r="AR29" s="23" t="str">
        <f t="shared" si="11"/>
        <v/>
      </c>
      <c r="AS29" s="21" t="str">
        <f>IF($B29="","",Setting!$B$7-(AI29+AJ29+AK29+AL29+AM29+AN29+AO29+AP29))</f>
        <v/>
      </c>
    </row>
    <row r="30" spans="1:45" x14ac:dyDescent="0.35">
      <c r="A30" s="18" t="str">
        <f t="shared" si="1"/>
        <v/>
      </c>
      <c r="B30" s="19" t="str">
        <f>IF(Employee_List!A28="","",Employee_List!A28)</f>
        <v/>
      </c>
      <c r="C30" s="19" t="str">
        <f>IF(B30="","",Employee_List!B28)</f>
        <v/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1" t="str">
        <f t="shared" si="2"/>
        <v/>
      </c>
      <c r="AJ30" s="21" t="str">
        <f t="shared" si="3"/>
        <v/>
      </c>
      <c r="AK30" s="22" t="str">
        <f t="shared" si="4"/>
        <v/>
      </c>
      <c r="AL30" s="21" t="str">
        <f t="shared" si="5"/>
        <v/>
      </c>
      <c r="AM30" s="21" t="str">
        <f t="shared" si="6"/>
        <v/>
      </c>
      <c r="AN30" s="21" t="str">
        <f t="shared" si="7"/>
        <v/>
      </c>
      <c r="AO30" s="21" t="str">
        <f t="shared" si="8"/>
        <v/>
      </c>
      <c r="AP30" s="21" t="str">
        <f t="shared" si="9"/>
        <v/>
      </c>
      <c r="AQ30" s="23" t="str">
        <f t="shared" si="10"/>
        <v/>
      </c>
      <c r="AR30" s="23" t="str">
        <f t="shared" si="11"/>
        <v/>
      </c>
      <c r="AS30" s="21" t="str">
        <f>IF($B30="","",Setting!$B$7-(AI30+AJ30+AK30+AL30+AM30+AN30+AO30+AP30))</f>
        <v/>
      </c>
    </row>
    <row r="31" spans="1:45" x14ac:dyDescent="0.35">
      <c r="A31" s="18" t="str">
        <f t="shared" si="1"/>
        <v/>
      </c>
      <c r="B31" s="19" t="str">
        <f>IF(Employee_List!A29="","",Employee_List!A29)</f>
        <v/>
      </c>
      <c r="C31" s="19" t="str">
        <f>IF(B31="","",Employee_List!B29)</f>
        <v/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1" t="str">
        <f t="shared" si="2"/>
        <v/>
      </c>
      <c r="AJ31" s="21" t="str">
        <f t="shared" si="3"/>
        <v/>
      </c>
      <c r="AK31" s="22" t="str">
        <f t="shared" si="4"/>
        <v/>
      </c>
      <c r="AL31" s="21" t="str">
        <f t="shared" si="5"/>
        <v/>
      </c>
      <c r="AM31" s="21" t="str">
        <f t="shared" si="6"/>
        <v/>
      </c>
      <c r="AN31" s="21" t="str">
        <f t="shared" si="7"/>
        <v/>
      </c>
      <c r="AO31" s="21" t="str">
        <f t="shared" si="8"/>
        <v/>
      </c>
      <c r="AP31" s="21" t="str">
        <f t="shared" si="9"/>
        <v/>
      </c>
      <c r="AQ31" s="23" t="str">
        <f t="shared" si="10"/>
        <v/>
      </c>
      <c r="AR31" s="23" t="str">
        <f t="shared" si="11"/>
        <v/>
      </c>
      <c r="AS31" s="21" t="str">
        <f>IF($B31="","",Setting!$B$7-(AI31+AJ31+AK31+AL31+AM31+AN31+AO31+AP31))</f>
        <v/>
      </c>
    </row>
    <row r="32" spans="1:45" x14ac:dyDescent="0.35">
      <c r="A32" s="18" t="str">
        <f t="shared" si="1"/>
        <v/>
      </c>
      <c r="B32" s="19" t="str">
        <f>IF(Employee_List!A30="","",Employee_List!A30)</f>
        <v/>
      </c>
      <c r="C32" s="19" t="str">
        <f>IF(B32="","",Employee_List!B30)</f>
        <v/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1" t="str">
        <f t="shared" si="2"/>
        <v/>
      </c>
      <c r="AJ32" s="21" t="str">
        <f t="shared" si="3"/>
        <v/>
      </c>
      <c r="AK32" s="22" t="str">
        <f t="shared" si="4"/>
        <v/>
      </c>
      <c r="AL32" s="21" t="str">
        <f t="shared" si="5"/>
        <v/>
      </c>
      <c r="AM32" s="21" t="str">
        <f t="shared" si="6"/>
        <v/>
      </c>
      <c r="AN32" s="21" t="str">
        <f t="shared" si="7"/>
        <v/>
      </c>
      <c r="AO32" s="21" t="str">
        <f t="shared" si="8"/>
        <v/>
      </c>
      <c r="AP32" s="21" t="str">
        <f t="shared" si="9"/>
        <v/>
      </c>
      <c r="AQ32" s="23" t="str">
        <f t="shared" si="10"/>
        <v/>
      </c>
      <c r="AR32" s="23" t="str">
        <f t="shared" si="11"/>
        <v/>
      </c>
      <c r="AS32" s="21" t="str">
        <f>IF($B32="","",Setting!$B$7-(AI32+AJ32+AK32+AL32+AM32+AN32+AO32+AP32))</f>
        <v/>
      </c>
    </row>
    <row r="33" spans="1:45" x14ac:dyDescent="0.35">
      <c r="A33" s="18" t="str">
        <f t="shared" si="1"/>
        <v/>
      </c>
      <c r="B33" s="19" t="str">
        <f>IF(Employee_List!A31="","",Employee_List!A31)</f>
        <v/>
      </c>
      <c r="C33" s="19" t="str">
        <f>IF(B33="","",Employee_List!B31)</f>
        <v/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1" t="str">
        <f t="shared" si="2"/>
        <v/>
      </c>
      <c r="AJ33" s="21" t="str">
        <f t="shared" si="3"/>
        <v/>
      </c>
      <c r="AK33" s="22" t="str">
        <f t="shared" si="4"/>
        <v/>
      </c>
      <c r="AL33" s="21" t="str">
        <f t="shared" si="5"/>
        <v/>
      </c>
      <c r="AM33" s="21" t="str">
        <f t="shared" si="6"/>
        <v/>
      </c>
      <c r="AN33" s="21" t="str">
        <f t="shared" si="7"/>
        <v/>
      </c>
      <c r="AO33" s="21" t="str">
        <f t="shared" si="8"/>
        <v/>
      </c>
      <c r="AP33" s="21" t="str">
        <f t="shared" si="9"/>
        <v/>
      </c>
      <c r="AQ33" s="23" t="str">
        <f t="shared" si="10"/>
        <v/>
      </c>
      <c r="AR33" s="23" t="str">
        <f t="shared" si="11"/>
        <v/>
      </c>
      <c r="AS33" s="21" t="str">
        <f>IF($B33="","",Setting!$B$7-(AI33+AJ33+AK33+AL33+AM33+AN33+AO33+AP33))</f>
        <v/>
      </c>
    </row>
    <row r="34" spans="1:45" x14ac:dyDescent="0.35">
      <c r="A34" s="18" t="str">
        <f t="shared" si="1"/>
        <v/>
      </c>
      <c r="B34" s="19" t="str">
        <f>IF(Employee_List!A32="","",Employee_List!A32)</f>
        <v/>
      </c>
      <c r="C34" s="19" t="str">
        <f>IF(B34="","",Employee_List!B32)</f>
        <v/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 t="str">
        <f t="shared" si="2"/>
        <v/>
      </c>
      <c r="AJ34" s="21" t="str">
        <f t="shared" si="3"/>
        <v/>
      </c>
      <c r="AK34" s="22" t="str">
        <f t="shared" si="4"/>
        <v/>
      </c>
      <c r="AL34" s="21" t="str">
        <f t="shared" si="5"/>
        <v/>
      </c>
      <c r="AM34" s="21" t="str">
        <f t="shared" si="6"/>
        <v/>
      </c>
      <c r="AN34" s="21" t="str">
        <f t="shared" si="7"/>
        <v/>
      </c>
      <c r="AO34" s="21" t="str">
        <f t="shared" si="8"/>
        <v/>
      </c>
      <c r="AP34" s="21" t="str">
        <f t="shared" si="9"/>
        <v/>
      </c>
      <c r="AQ34" s="23" t="str">
        <f t="shared" si="10"/>
        <v/>
      </c>
      <c r="AR34" s="23" t="str">
        <f t="shared" si="11"/>
        <v/>
      </c>
      <c r="AS34" s="21" t="str">
        <f>IF($B34="","",Setting!$B$7-(AI34+AJ34+AK34+AL34+AM34+AN34+AO34+AP34))</f>
        <v/>
      </c>
    </row>
    <row r="35" spans="1:45" x14ac:dyDescent="0.35">
      <c r="A35" s="18" t="str">
        <f t="shared" si="1"/>
        <v/>
      </c>
      <c r="B35" s="19" t="str">
        <f>IF(Employee_List!A33="","",Employee_List!A33)</f>
        <v/>
      </c>
      <c r="C35" s="19" t="str">
        <f>IF(B35="","",Employee_List!B33)</f>
        <v/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1" t="str">
        <f t="shared" si="2"/>
        <v/>
      </c>
      <c r="AJ35" s="21" t="str">
        <f t="shared" si="3"/>
        <v/>
      </c>
      <c r="AK35" s="22" t="str">
        <f t="shared" si="4"/>
        <v/>
      </c>
      <c r="AL35" s="21" t="str">
        <f t="shared" si="5"/>
        <v/>
      </c>
      <c r="AM35" s="21" t="str">
        <f t="shared" si="6"/>
        <v/>
      </c>
      <c r="AN35" s="21" t="str">
        <f t="shared" si="7"/>
        <v/>
      </c>
      <c r="AO35" s="21" t="str">
        <f t="shared" si="8"/>
        <v/>
      </c>
      <c r="AP35" s="21" t="str">
        <f t="shared" si="9"/>
        <v/>
      </c>
      <c r="AQ35" s="23" t="str">
        <f t="shared" si="10"/>
        <v/>
      </c>
      <c r="AR35" s="23" t="str">
        <f t="shared" si="11"/>
        <v/>
      </c>
      <c r="AS35" s="21" t="str">
        <f>IF($B35="","",Setting!$B$7-(AI35+AJ35+AK35+AL35+AM35+AN35+AO35+AP35))</f>
        <v/>
      </c>
    </row>
    <row r="36" spans="1:45" x14ac:dyDescent="0.35">
      <c r="A36" s="18" t="str">
        <f t="shared" si="1"/>
        <v/>
      </c>
      <c r="B36" s="19" t="str">
        <f>IF(Employee_List!A34="","",Employee_List!A34)</f>
        <v/>
      </c>
      <c r="C36" s="19" t="str">
        <f>IF(B36="","",Employee_List!B34)</f>
        <v/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1" t="str">
        <f t="shared" si="2"/>
        <v/>
      </c>
      <c r="AJ36" s="21" t="str">
        <f t="shared" si="3"/>
        <v/>
      </c>
      <c r="AK36" s="22" t="str">
        <f t="shared" si="4"/>
        <v/>
      </c>
      <c r="AL36" s="21" t="str">
        <f t="shared" si="5"/>
        <v/>
      </c>
      <c r="AM36" s="21" t="str">
        <f t="shared" si="6"/>
        <v/>
      </c>
      <c r="AN36" s="21" t="str">
        <f t="shared" si="7"/>
        <v/>
      </c>
      <c r="AO36" s="21" t="str">
        <f t="shared" si="8"/>
        <v/>
      </c>
      <c r="AP36" s="21" t="str">
        <f t="shared" si="9"/>
        <v/>
      </c>
      <c r="AQ36" s="23" t="str">
        <f t="shared" si="10"/>
        <v/>
      </c>
      <c r="AR36" s="23" t="str">
        <f t="shared" si="11"/>
        <v/>
      </c>
      <c r="AS36" s="21" t="str">
        <f>IF($B36="","",Setting!$B$7-(AI36+AJ36+AK36+AL36+AM36+AN36+AO36+AP36))</f>
        <v/>
      </c>
    </row>
    <row r="37" spans="1:45" x14ac:dyDescent="0.35">
      <c r="A37" s="18" t="str">
        <f t="shared" si="1"/>
        <v/>
      </c>
      <c r="B37" s="19" t="str">
        <f>IF(Employee_List!A35="","",Employee_List!A35)</f>
        <v/>
      </c>
      <c r="C37" s="19" t="str">
        <f>IF(B37="","",Employee_List!B35)</f>
        <v/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1" t="str">
        <f t="shared" si="2"/>
        <v/>
      </c>
      <c r="AJ37" s="21" t="str">
        <f t="shared" si="3"/>
        <v/>
      </c>
      <c r="AK37" s="22" t="str">
        <f t="shared" si="4"/>
        <v/>
      </c>
      <c r="AL37" s="21" t="str">
        <f t="shared" si="5"/>
        <v/>
      </c>
      <c r="AM37" s="21" t="str">
        <f t="shared" si="6"/>
        <v/>
      </c>
      <c r="AN37" s="21" t="str">
        <f t="shared" si="7"/>
        <v/>
      </c>
      <c r="AO37" s="21" t="str">
        <f t="shared" si="8"/>
        <v/>
      </c>
      <c r="AP37" s="21" t="str">
        <f t="shared" si="9"/>
        <v/>
      </c>
      <c r="AQ37" s="23" t="str">
        <f t="shared" si="10"/>
        <v/>
      </c>
      <c r="AR37" s="23" t="str">
        <f t="shared" si="11"/>
        <v/>
      </c>
      <c r="AS37" s="21" t="str">
        <f>IF($B37="","",Setting!$B$7-(AI37+AJ37+AK37+AL37+AM37+AN37+AO37+AP37))</f>
        <v/>
      </c>
    </row>
    <row r="38" spans="1:45" x14ac:dyDescent="0.35">
      <c r="A38" s="18" t="str">
        <f t="shared" si="1"/>
        <v/>
      </c>
      <c r="B38" s="19" t="str">
        <f>IF(Employee_List!A36="","",Employee_List!A36)</f>
        <v/>
      </c>
      <c r="C38" s="19" t="str">
        <f>IF(B38="","",Employee_List!B36)</f>
        <v/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1" t="str">
        <f t="shared" si="2"/>
        <v/>
      </c>
      <c r="AJ38" s="21" t="str">
        <f t="shared" si="3"/>
        <v/>
      </c>
      <c r="AK38" s="22" t="str">
        <f t="shared" si="4"/>
        <v/>
      </c>
      <c r="AL38" s="21" t="str">
        <f t="shared" si="5"/>
        <v/>
      </c>
      <c r="AM38" s="21" t="str">
        <f t="shared" si="6"/>
        <v/>
      </c>
      <c r="AN38" s="21" t="str">
        <f t="shared" si="7"/>
        <v/>
      </c>
      <c r="AO38" s="21" t="str">
        <f t="shared" si="8"/>
        <v/>
      </c>
      <c r="AP38" s="21" t="str">
        <f t="shared" si="9"/>
        <v/>
      </c>
      <c r="AQ38" s="23" t="str">
        <f t="shared" si="10"/>
        <v/>
      </c>
      <c r="AR38" s="23" t="str">
        <f t="shared" si="11"/>
        <v/>
      </c>
      <c r="AS38" s="21" t="str">
        <f>IF($B38="","",Setting!$B$7-(AI38+AJ38+AK38+AL38+AM38+AN38+AO38+AP38))</f>
        <v/>
      </c>
    </row>
    <row r="39" spans="1:45" x14ac:dyDescent="0.35">
      <c r="A39" s="18" t="str">
        <f t="shared" ref="A39:A70" si="12">IF(B39="","",ROW()-6)</f>
        <v/>
      </c>
      <c r="B39" s="19" t="str">
        <f>IF(Employee_List!A37="","",Employee_List!A37)</f>
        <v/>
      </c>
      <c r="C39" s="19" t="str">
        <f>IF(B39="","",Employee_List!B37)</f>
        <v/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1" t="str">
        <f t="shared" ref="AI39:AI70" si="13">IF($B39="","",COUNTIF($D39:$AH39,"P"))</f>
        <v/>
      </c>
      <c r="AJ39" s="21" t="str">
        <f t="shared" ref="AJ39:AJ70" si="14">IF($B39="","",COUNTIF($D39:$AH39,"A"))</f>
        <v/>
      </c>
      <c r="AK39" s="22" t="str">
        <f t="shared" ref="AK39:AK70" si="15">IF($B39="","",COUNTIF($D39:$AH39,"HD"))</f>
        <v/>
      </c>
      <c r="AL39" s="21" t="str">
        <f t="shared" ref="AL39:AL70" si="16">IF($B39="","",COUNTIF($D39:$AH39,"WO")+SUMPRODUCT(($D39:$AH39="")*($D$6:$AH$6="WO")))</f>
        <v/>
      </c>
      <c r="AM39" s="21" t="str">
        <f t="shared" ref="AM39:AM70" si="17">IF($B39="","",COUNTIF($D39:$AH39,"PH")+SUMPRODUCT(($D39:$AH39="")*($D$6:$AH$6="PH")))</f>
        <v/>
      </c>
      <c r="AN39" s="21" t="str">
        <f t="shared" ref="AN39:AN70" si="18">IF($B39="","",COUNTIF($D39:$AH39,"CL"))</f>
        <v/>
      </c>
      <c r="AO39" s="21" t="str">
        <f t="shared" ref="AO39:AO70" si="19">IF($B39="","",COUNTIF($D39:$AH39,"SL"))</f>
        <v/>
      </c>
      <c r="AP39" s="21" t="str">
        <f t="shared" ref="AP39:AP70" si="20">IF($B39="","",COUNTIF($D39:$AH39,"PL"))</f>
        <v/>
      </c>
      <c r="AQ39" s="23" t="str">
        <f t="shared" ref="AQ39:AQ70" si="21">IF($B39="","",AI39+0.5*AK39+AL39+AM39+AN39+AO39+AP39)</f>
        <v/>
      </c>
      <c r="AR39" s="23" t="str">
        <f t="shared" ref="AR39:AR70" si="22">IF($B39="","",AJ39+0.5*AK39)</f>
        <v/>
      </c>
      <c r="AS39" s="21" t="str">
        <f>IF($B39="","",Setting!$B$7-(AI39+AJ39+AK39+AL39+AM39+AN39+AO39+AP39))</f>
        <v/>
      </c>
    </row>
    <row r="40" spans="1:45" x14ac:dyDescent="0.35">
      <c r="A40" s="18" t="str">
        <f t="shared" si="12"/>
        <v/>
      </c>
      <c r="B40" s="19" t="str">
        <f>IF(Employee_List!A38="","",Employee_List!A38)</f>
        <v/>
      </c>
      <c r="C40" s="19" t="str">
        <f>IF(B40="","",Employee_List!B38)</f>
        <v/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1" t="str">
        <f t="shared" si="13"/>
        <v/>
      </c>
      <c r="AJ40" s="21" t="str">
        <f t="shared" si="14"/>
        <v/>
      </c>
      <c r="AK40" s="22" t="str">
        <f t="shared" si="15"/>
        <v/>
      </c>
      <c r="AL40" s="21" t="str">
        <f t="shared" si="16"/>
        <v/>
      </c>
      <c r="AM40" s="21" t="str">
        <f t="shared" si="17"/>
        <v/>
      </c>
      <c r="AN40" s="21" t="str">
        <f t="shared" si="18"/>
        <v/>
      </c>
      <c r="AO40" s="21" t="str">
        <f t="shared" si="19"/>
        <v/>
      </c>
      <c r="AP40" s="21" t="str">
        <f t="shared" si="20"/>
        <v/>
      </c>
      <c r="AQ40" s="23" t="str">
        <f t="shared" si="21"/>
        <v/>
      </c>
      <c r="AR40" s="23" t="str">
        <f t="shared" si="22"/>
        <v/>
      </c>
      <c r="AS40" s="21" t="str">
        <f>IF($B40="","",Setting!$B$7-(AI40+AJ40+AK40+AL40+AM40+AN40+AO40+AP40))</f>
        <v/>
      </c>
    </row>
    <row r="41" spans="1:45" x14ac:dyDescent="0.35">
      <c r="A41" s="18" t="str">
        <f t="shared" si="12"/>
        <v/>
      </c>
      <c r="B41" s="19" t="str">
        <f>IF(Employee_List!A39="","",Employee_List!A39)</f>
        <v/>
      </c>
      <c r="C41" s="19" t="str">
        <f>IF(B41="","",Employee_List!B39)</f>
        <v/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1" t="str">
        <f t="shared" si="13"/>
        <v/>
      </c>
      <c r="AJ41" s="21" t="str">
        <f t="shared" si="14"/>
        <v/>
      </c>
      <c r="AK41" s="22" t="str">
        <f t="shared" si="15"/>
        <v/>
      </c>
      <c r="AL41" s="21" t="str">
        <f t="shared" si="16"/>
        <v/>
      </c>
      <c r="AM41" s="21" t="str">
        <f t="shared" si="17"/>
        <v/>
      </c>
      <c r="AN41" s="21" t="str">
        <f t="shared" si="18"/>
        <v/>
      </c>
      <c r="AO41" s="21" t="str">
        <f t="shared" si="19"/>
        <v/>
      </c>
      <c r="AP41" s="21" t="str">
        <f t="shared" si="20"/>
        <v/>
      </c>
      <c r="AQ41" s="23" t="str">
        <f t="shared" si="21"/>
        <v/>
      </c>
      <c r="AR41" s="23" t="str">
        <f t="shared" si="22"/>
        <v/>
      </c>
      <c r="AS41" s="21" t="str">
        <f>IF($B41="","",Setting!$B$7-(AI41+AJ41+AK41+AL41+AM41+AN41+AO41+AP41))</f>
        <v/>
      </c>
    </row>
    <row r="42" spans="1:45" x14ac:dyDescent="0.35">
      <c r="A42" s="18" t="str">
        <f t="shared" si="12"/>
        <v/>
      </c>
      <c r="B42" s="19" t="str">
        <f>IF(Employee_List!A40="","",Employee_List!A40)</f>
        <v/>
      </c>
      <c r="C42" s="19" t="str">
        <f>IF(B42="","",Employee_List!B40)</f>
        <v/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1" t="str">
        <f t="shared" si="13"/>
        <v/>
      </c>
      <c r="AJ42" s="21" t="str">
        <f t="shared" si="14"/>
        <v/>
      </c>
      <c r="AK42" s="22" t="str">
        <f t="shared" si="15"/>
        <v/>
      </c>
      <c r="AL42" s="21" t="str">
        <f t="shared" si="16"/>
        <v/>
      </c>
      <c r="AM42" s="21" t="str">
        <f t="shared" si="17"/>
        <v/>
      </c>
      <c r="AN42" s="21" t="str">
        <f t="shared" si="18"/>
        <v/>
      </c>
      <c r="AO42" s="21" t="str">
        <f t="shared" si="19"/>
        <v/>
      </c>
      <c r="AP42" s="21" t="str">
        <f t="shared" si="20"/>
        <v/>
      </c>
      <c r="AQ42" s="23" t="str">
        <f t="shared" si="21"/>
        <v/>
      </c>
      <c r="AR42" s="23" t="str">
        <f t="shared" si="22"/>
        <v/>
      </c>
      <c r="AS42" s="21" t="str">
        <f>IF($B42="","",Setting!$B$7-(AI42+AJ42+AK42+AL42+AM42+AN42+AO42+AP42))</f>
        <v/>
      </c>
    </row>
    <row r="43" spans="1:45" x14ac:dyDescent="0.35">
      <c r="A43" s="18" t="str">
        <f t="shared" si="12"/>
        <v/>
      </c>
      <c r="B43" s="19" t="str">
        <f>IF(Employee_List!A41="","",Employee_List!A41)</f>
        <v/>
      </c>
      <c r="C43" s="19" t="str">
        <f>IF(B43="","",Employee_List!B41)</f>
        <v/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1" t="str">
        <f t="shared" si="13"/>
        <v/>
      </c>
      <c r="AJ43" s="21" t="str">
        <f t="shared" si="14"/>
        <v/>
      </c>
      <c r="AK43" s="22" t="str">
        <f t="shared" si="15"/>
        <v/>
      </c>
      <c r="AL43" s="21" t="str">
        <f t="shared" si="16"/>
        <v/>
      </c>
      <c r="AM43" s="21" t="str">
        <f t="shared" si="17"/>
        <v/>
      </c>
      <c r="AN43" s="21" t="str">
        <f t="shared" si="18"/>
        <v/>
      </c>
      <c r="AO43" s="21" t="str">
        <f t="shared" si="19"/>
        <v/>
      </c>
      <c r="AP43" s="21" t="str">
        <f t="shared" si="20"/>
        <v/>
      </c>
      <c r="AQ43" s="23" t="str">
        <f t="shared" si="21"/>
        <v/>
      </c>
      <c r="AR43" s="23" t="str">
        <f t="shared" si="22"/>
        <v/>
      </c>
      <c r="AS43" s="21" t="str">
        <f>IF($B43="","",Setting!$B$7-(AI43+AJ43+AK43+AL43+AM43+AN43+AO43+AP43))</f>
        <v/>
      </c>
    </row>
    <row r="44" spans="1:45" x14ac:dyDescent="0.35">
      <c r="A44" s="18" t="str">
        <f t="shared" si="12"/>
        <v/>
      </c>
      <c r="B44" s="19" t="str">
        <f>IF(Employee_List!A42="","",Employee_List!A42)</f>
        <v/>
      </c>
      <c r="C44" s="19" t="str">
        <f>IF(B44="","",Employee_List!B42)</f>
        <v/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 t="str">
        <f t="shared" si="13"/>
        <v/>
      </c>
      <c r="AJ44" s="21" t="str">
        <f t="shared" si="14"/>
        <v/>
      </c>
      <c r="AK44" s="22" t="str">
        <f t="shared" si="15"/>
        <v/>
      </c>
      <c r="AL44" s="21" t="str">
        <f t="shared" si="16"/>
        <v/>
      </c>
      <c r="AM44" s="21" t="str">
        <f t="shared" si="17"/>
        <v/>
      </c>
      <c r="AN44" s="21" t="str">
        <f t="shared" si="18"/>
        <v/>
      </c>
      <c r="AO44" s="21" t="str">
        <f t="shared" si="19"/>
        <v/>
      </c>
      <c r="AP44" s="21" t="str">
        <f t="shared" si="20"/>
        <v/>
      </c>
      <c r="AQ44" s="23" t="str">
        <f t="shared" si="21"/>
        <v/>
      </c>
      <c r="AR44" s="23" t="str">
        <f t="shared" si="22"/>
        <v/>
      </c>
      <c r="AS44" s="21" t="str">
        <f>IF($B44="","",Setting!$B$7-(AI44+AJ44+AK44+AL44+AM44+AN44+AO44+AP44))</f>
        <v/>
      </c>
    </row>
    <row r="45" spans="1:45" x14ac:dyDescent="0.35">
      <c r="A45" s="18" t="str">
        <f t="shared" si="12"/>
        <v/>
      </c>
      <c r="B45" s="19" t="str">
        <f>IF(Employee_List!A43="","",Employee_List!A43)</f>
        <v/>
      </c>
      <c r="C45" s="19" t="str">
        <f>IF(B45="","",Employee_List!B43)</f>
        <v/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 t="str">
        <f t="shared" si="13"/>
        <v/>
      </c>
      <c r="AJ45" s="21" t="str">
        <f t="shared" si="14"/>
        <v/>
      </c>
      <c r="AK45" s="22" t="str">
        <f t="shared" si="15"/>
        <v/>
      </c>
      <c r="AL45" s="21" t="str">
        <f t="shared" si="16"/>
        <v/>
      </c>
      <c r="AM45" s="21" t="str">
        <f t="shared" si="17"/>
        <v/>
      </c>
      <c r="AN45" s="21" t="str">
        <f t="shared" si="18"/>
        <v/>
      </c>
      <c r="AO45" s="21" t="str">
        <f t="shared" si="19"/>
        <v/>
      </c>
      <c r="AP45" s="21" t="str">
        <f t="shared" si="20"/>
        <v/>
      </c>
      <c r="AQ45" s="23" t="str">
        <f t="shared" si="21"/>
        <v/>
      </c>
      <c r="AR45" s="23" t="str">
        <f t="shared" si="22"/>
        <v/>
      </c>
      <c r="AS45" s="21" t="str">
        <f>IF($B45="","",Setting!$B$7-(AI45+AJ45+AK45+AL45+AM45+AN45+AO45+AP45))</f>
        <v/>
      </c>
    </row>
    <row r="46" spans="1:45" x14ac:dyDescent="0.35">
      <c r="A46" s="18" t="str">
        <f t="shared" si="12"/>
        <v/>
      </c>
      <c r="B46" s="19" t="str">
        <f>IF(Employee_List!A44="","",Employee_List!A44)</f>
        <v/>
      </c>
      <c r="C46" s="19" t="str">
        <f>IF(B46="","",Employee_List!B44)</f>
        <v/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 t="str">
        <f t="shared" si="13"/>
        <v/>
      </c>
      <c r="AJ46" s="21" t="str">
        <f t="shared" si="14"/>
        <v/>
      </c>
      <c r="AK46" s="22" t="str">
        <f t="shared" si="15"/>
        <v/>
      </c>
      <c r="AL46" s="21" t="str">
        <f t="shared" si="16"/>
        <v/>
      </c>
      <c r="AM46" s="21" t="str">
        <f t="shared" si="17"/>
        <v/>
      </c>
      <c r="AN46" s="21" t="str">
        <f t="shared" si="18"/>
        <v/>
      </c>
      <c r="AO46" s="21" t="str">
        <f t="shared" si="19"/>
        <v/>
      </c>
      <c r="AP46" s="21" t="str">
        <f t="shared" si="20"/>
        <v/>
      </c>
      <c r="AQ46" s="23" t="str">
        <f t="shared" si="21"/>
        <v/>
      </c>
      <c r="AR46" s="23" t="str">
        <f t="shared" si="22"/>
        <v/>
      </c>
      <c r="AS46" s="21" t="str">
        <f>IF($B46="","",Setting!$B$7-(AI46+AJ46+AK46+AL46+AM46+AN46+AO46+AP46))</f>
        <v/>
      </c>
    </row>
    <row r="47" spans="1:45" x14ac:dyDescent="0.35">
      <c r="A47" s="18" t="str">
        <f t="shared" si="12"/>
        <v/>
      </c>
      <c r="B47" s="19" t="str">
        <f>IF(Employee_List!A45="","",Employee_List!A45)</f>
        <v/>
      </c>
      <c r="C47" s="19" t="str">
        <f>IF(B47="","",Employee_List!B45)</f>
        <v/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 t="str">
        <f t="shared" si="13"/>
        <v/>
      </c>
      <c r="AJ47" s="21" t="str">
        <f t="shared" si="14"/>
        <v/>
      </c>
      <c r="AK47" s="22" t="str">
        <f t="shared" si="15"/>
        <v/>
      </c>
      <c r="AL47" s="21" t="str">
        <f t="shared" si="16"/>
        <v/>
      </c>
      <c r="AM47" s="21" t="str">
        <f t="shared" si="17"/>
        <v/>
      </c>
      <c r="AN47" s="21" t="str">
        <f t="shared" si="18"/>
        <v/>
      </c>
      <c r="AO47" s="21" t="str">
        <f t="shared" si="19"/>
        <v/>
      </c>
      <c r="AP47" s="21" t="str">
        <f t="shared" si="20"/>
        <v/>
      </c>
      <c r="AQ47" s="23" t="str">
        <f t="shared" si="21"/>
        <v/>
      </c>
      <c r="AR47" s="23" t="str">
        <f t="shared" si="22"/>
        <v/>
      </c>
      <c r="AS47" s="21" t="str">
        <f>IF($B47="","",Setting!$B$7-(AI47+AJ47+AK47+AL47+AM47+AN47+AO47+AP47))</f>
        <v/>
      </c>
    </row>
    <row r="48" spans="1:45" x14ac:dyDescent="0.35">
      <c r="A48" s="18" t="str">
        <f t="shared" si="12"/>
        <v/>
      </c>
      <c r="B48" s="19" t="str">
        <f>IF(Employee_List!A46="","",Employee_List!A46)</f>
        <v/>
      </c>
      <c r="C48" s="19" t="str">
        <f>IF(B48="","",Employee_List!B46)</f>
        <v/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 t="str">
        <f t="shared" si="13"/>
        <v/>
      </c>
      <c r="AJ48" s="21" t="str">
        <f t="shared" si="14"/>
        <v/>
      </c>
      <c r="AK48" s="22" t="str">
        <f t="shared" si="15"/>
        <v/>
      </c>
      <c r="AL48" s="21" t="str">
        <f t="shared" si="16"/>
        <v/>
      </c>
      <c r="AM48" s="21" t="str">
        <f t="shared" si="17"/>
        <v/>
      </c>
      <c r="AN48" s="21" t="str">
        <f t="shared" si="18"/>
        <v/>
      </c>
      <c r="AO48" s="21" t="str">
        <f t="shared" si="19"/>
        <v/>
      </c>
      <c r="AP48" s="21" t="str">
        <f t="shared" si="20"/>
        <v/>
      </c>
      <c r="AQ48" s="23" t="str">
        <f t="shared" si="21"/>
        <v/>
      </c>
      <c r="AR48" s="23" t="str">
        <f t="shared" si="22"/>
        <v/>
      </c>
      <c r="AS48" s="21" t="str">
        <f>IF($B48="","",Setting!$B$7-(AI48+AJ48+AK48+AL48+AM48+AN48+AO48+AP48))</f>
        <v/>
      </c>
    </row>
    <row r="49" spans="1:45" x14ac:dyDescent="0.35">
      <c r="A49" s="18" t="str">
        <f t="shared" si="12"/>
        <v/>
      </c>
      <c r="B49" s="19" t="str">
        <f>IF(Employee_List!A47="","",Employee_List!A47)</f>
        <v/>
      </c>
      <c r="C49" s="19" t="str">
        <f>IF(B49="","",Employee_List!B47)</f>
        <v/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 t="str">
        <f t="shared" si="13"/>
        <v/>
      </c>
      <c r="AJ49" s="21" t="str">
        <f t="shared" si="14"/>
        <v/>
      </c>
      <c r="AK49" s="22" t="str">
        <f t="shared" si="15"/>
        <v/>
      </c>
      <c r="AL49" s="21" t="str">
        <f t="shared" si="16"/>
        <v/>
      </c>
      <c r="AM49" s="21" t="str">
        <f t="shared" si="17"/>
        <v/>
      </c>
      <c r="AN49" s="21" t="str">
        <f t="shared" si="18"/>
        <v/>
      </c>
      <c r="AO49" s="21" t="str">
        <f t="shared" si="19"/>
        <v/>
      </c>
      <c r="AP49" s="21" t="str">
        <f t="shared" si="20"/>
        <v/>
      </c>
      <c r="AQ49" s="23" t="str">
        <f t="shared" si="21"/>
        <v/>
      </c>
      <c r="AR49" s="23" t="str">
        <f t="shared" si="22"/>
        <v/>
      </c>
      <c r="AS49" s="21" t="str">
        <f>IF($B49="","",Setting!$B$7-(AI49+AJ49+AK49+AL49+AM49+AN49+AO49+AP49))</f>
        <v/>
      </c>
    </row>
    <row r="50" spans="1:45" x14ac:dyDescent="0.35">
      <c r="A50" s="18" t="str">
        <f t="shared" si="12"/>
        <v/>
      </c>
      <c r="B50" s="19" t="str">
        <f>IF(Employee_List!A48="","",Employee_List!A48)</f>
        <v/>
      </c>
      <c r="C50" s="19" t="str">
        <f>IF(B50="","",Employee_List!B48)</f>
        <v/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1" t="str">
        <f t="shared" si="13"/>
        <v/>
      </c>
      <c r="AJ50" s="21" t="str">
        <f t="shared" si="14"/>
        <v/>
      </c>
      <c r="AK50" s="22" t="str">
        <f t="shared" si="15"/>
        <v/>
      </c>
      <c r="AL50" s="21" t="str">
        <f t="shared" si="16"/>
        <v/>
      </c>
      <c r="AM50" s="21" t="str">
        <f t="shared" si="17"/>
        <v/>
      </c>
      <c r="AN50" s="21" t="str">
        <f t="shared" si="18"/>
        <v/>
      </c>
      <c r="AO50" s="21" t="str">
        <f t="shared" si="19"/>
        <v/>
      </c>
      <c r="AP50" s="21" t="str">
        <f t="shared" si="20"/>
        <v/>
      </c>
      <c r="AQ50" s="23" t="str">
        <f t="shared" si="21"/>
        <v/>
      </c>
      <c r="AR50" s="23" t="str">
        <f t="shared" si="22"/>
        <v/>
      </c>
      <c r="AS50" s="21" t="str">
        <f>IF($B50="","",Setting!$B$7-(AI50+AJ50+AK50+AL50+AM50+AN50+AO50+AP50))</f>
        <v/>
      </c>
    </row>
    <row r="51" spans="1:45" x14ac:dyDescent="0.35">
      <c r="A51" s="18" t="str">
        <f t="shared" si="12"/>
        <v/>
      </c>
      <c r="B51" s="19" t="str">
        <f>IF(Employee_List!A49="","",Employee_List!A49)</f>
        <v/>
      </c>
      <c r="C51" s="19" t="str">
        <f>IF(B51="","",Employee_List!B49)</f>
        <v/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1" t="str">
        <f t="shared" si="13"/>
        <v/>
      </c>
      <c r="AJ51" s="21" t="str">
        <f t="shared" si="14"/>
        <v/>
      </c>
      <c r="AK51" s="22" t="str">
        <f t="shared" si="15"/>
        <v/>
      </c>
      <c r="AL51" s="21" t="str">
        <f t="shared" si="16"/>
        <v/>
      </c>
      <c r="AM51" s="21" t="str">
        <f t="shared" si="17"/>
        <v/>
      </c>
      <c r="AN51" s="21" t="str">
        <f t="shared" si="18"/>
        <v/>
      </c>
      <c r="AO51" s="21" t="str">
        <f t="shared" si="19"/>
        <v/>
      </c>
      <c r="AP51" s="21" t="str">
        <f t="shared" si="20"/>
        <v/>
      </c>
      <c r="AQ51" s="23" t="str">
        <f t="shared" si="21"/>
        <v/>
      </c>
      <c r="AR51" s="23" t="str">
        <f t="shared" si="22"/>
        <v/>
      </c>
      <c r="AS51" s="21" t="str">
        <f>IF($B51="","",Setting!$B$7-(AI51+AJ51+AK51+AL51+AM51+AN51+AO51+AP51))</f>
        <v/>
      </c>
    </row>
    <row r="52" spans="1:45" x14ac:dyDescent="0.35">
      <c r="A52" s="18" t="str">
        <f t="shared" si="12"/>
        <v/>
      </c>
      <c r="B52" s="19" t="str">
        <f>IF(Employee_List!A50="","",Employee_List!A50)</f>
        <v/>
      </c>
      <c r="C52" s="19" t="str">
        <f>IF(B52="","",Employee_List!B50)</f>
        <v/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1" t="str">
        <f t="shared" si="13"/>
        <v/>
      </c>
      <c r="AJ52" s="21" t="str">
        <f t="shared" si="14"/>
        <v/>
      </c>
      <c r="AK52" s="22" t="str">
        <f t="shared" si="15"/>
        <v/>
      </c>
      <c r="AL52" s="21" t="str">
        <f t="shared" si="16"/>
        <v/>
      </c>
      <c r="AM52" s="21" t="str">
        <f t="shared" si="17"/>
        <v/>
      </c>
      <c r="AN52" s="21" t="str">
        <f t="shared" si="18"/>
        <v/>
      </c>
      <c r="AO52" s="21" t="str">
        <f t="shared" si="19"/>
        <v/>
      </c>
      <c r="AP52" s="21" t="str">
        <f t="shared" si="20"/>
        <v/>
      </c>
      <c r="AQ52" s="23" t="str">
        <f t="shared" si="21"/>
        <v/>
      </c>
      <c r="AR52" s="23" t="str">
        <f t="shared" si="22"/>
        <v/>
      </c>
      <c r="AS52" s="21" t="str">
        <f>IF($B52="","",Setting!$B$7-(AI52+AJ52+AK52+AL52+AM52+AN52+AO52+AP52))</f>
        <v/>
      </c>
    </row>
    <row r="53" spans="1:45" x14ac:dyDescent="0.35">
      <c r="A53" s="18" t="str">
        <f t="shared" si="12"/>
        <v/>
      </c>
      <c r="B53" s="19" t="str">
        <f>IF(Employee_List!A51="","",Employee_List!A51)</f>
        <v/>
      </c>
      <c r="C53" s="19" t="str">
        <f>IF(B53="","",Employee_List!B51)</f>
        <v/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1" t="str">
        <f t="shared" si="13"/>
        <v/>
      </c>
      <c r="AJ53" s="21" t="str">
        <f t="shared" si="14"/>
        <v/>
      </c>
      <c r="AK53" s="22" t="str">
        <f t="shared" si="15"/>
        <v/>
      </c>
      <c r="AL53" s="21" t="str">
        <f t="shared" si="16"/>
        <v/>
      </c>
      <c r="AM53" s="21" t="str">
        <f t="shared" si="17"/>
        <v/>
      </c>
      <c r="AN53" s="21" t="str">
        <f t="shared" si="18"/>
        <v/>
      </c>
      <c r="AO53" s="21" t="str">
        <f t="shared" si="19"/>
        <v/>
      </c>
      <c r="AP53" s="21" t="str">
        <f t="shared" si="20"/>
        <v/>
      </c>
      <c r="AQ53" s="23" t="str">
        <f t="shared" si="21"/>
        <v/>
      </c>
      <c r="AR53" s="23" t="str">
        <f t="shared" si="22"/>
        <v/>
      </c>
      <c r="AS53" s="21" t="str">
        <f>IF($B53="","",Setting!$B$7-(AI53+AJ53+AK53+AL53+AM53+AN53+AO53+AP53))</f>
        <v/>
      </c>
    </row>
    <row r="54" spans="1:45" x14ac:dyDescent="0.35">
      <c r="A54" s="18" t="str">
        <f t="shared" si="12"/>
        <v/>
      </c>
      <c r="B54" s="19" t="str">
        <f>IF(Employee_List!A52="","",Employee_List!A52)</f>
        <v/>
      </c>
      <c r="C54" s="19" t="str">
        <f>IF(B54="","",Employee_List!B52)</f>
        <v/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 t="str">
        <f t="shared" si="13"/>
        <v/>
      </c>
      <c r="AJ54" s="21" t="str">
        <f t="shared" si="14"/>
        <v/>
      </c>
      <c r="AK54" s="22" t="str">
        <f t="shared" si="15"/>
        <v/>
      </c>
      <c r="AL54" s="21" t="str">
        <f t="shared" si="16"/>
        <v/>
      </c>
      <c r="AM54" s="21" t="str">
        <f t="shared" si="17"/>
        <v/>
      </c>
      <c r="AN54" s="21" t="str">
        <f t="shared" si="18"/>
        <v/>
      </c>
      <c r="AO54" s="21" t="str">
        <f t="shared" si="19"/>
        <v/>
      </c>
      <c r="AP54" s="21" t="str">
        <f t="shared" si="20"/>
        <v/>
      </c>
      <c r="AQ54" s="23" t="str">
        <f t="shared" si="21"/>
        <v/>
      </c>
      <c r="AR54" s="23" t="str">
        <f t="shared" si="22"/>
        <v/>
      </c>
      <c r="AS54" s="21" t="str">
        <f>IF($B54="","",Setting!$B$7-(AI54+AJ54+AK54+AL54+AM54+AN54+AO54+AP54))</f>
        <v/>
      </c>
    </row>
    <row r="55" spans="1:45" x14ac:dyDescent="0.35">
      <c r="A55" s="18" t="str">
        <f t="shared" si="12"/>
        <v/>
      </c>
      <c r="B55" s="19" t="str">
        <f>IF(Employee_List!A53="","",Employee_List!A53)</f>
        <v/>
      </c>
      <c r="C55" s="19" t="str">
        <f>IF(B55="","",Employee_List!B53)</f>
        <v/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 t="str">
        <f t="shared" si="13"/>
        <v/>
      </c>
      <c r="AJ55" s="21" t="str">
        <f t="shared" si="14"/>
        <v/>
      </c>
      <c r="AK55" s="22" t="str">
        <f t="shared" si="15"/>
        <v/>
      </c>
      <c r="AL55" s="21" t="str">
        <f t="shared" si="16"/>
        <v/>
      </c>
      <c r="AM55" s="21" t="str">
        <f t="shared" si="17"/>
        <v/>
      </c>
      <c r="AN55" s="21" t="str">
        <f t="shared" si="18"/>
        <v/>
      </c>
      <c r="AO55" s="21" t="str">
        <f t="shared" si="19"/>
        <v/>
      </c>
      <c r="AP55" s="21" t="str">
        <f t="shared" si="20"/>
        <v/>
      </c>
      <c r="AQ55" s="23" t="str">
        <f t="shared" si="21"/>
        <v/>
      </c>
      <c r="AR55" s="23" t="str">
        <f t="shared" si="22"/>
        <v/>
      </c>
      <c r="AS55" s="21" t="str">
        <f>IF($B55="","",Setting!$B$7-(AI55+AJ55+AK55+AL55+AM55+AN55+AO55+AP55))</f>
        <v/>
      </c>
    </row>
    <row r="56" spans="1:45" x14ac:dyDescent="0.35">
      <c r="A56" s="18" t="str">
        <f t="shared" si="12"/>
        <v/>
      </c>
      <c r="B56" s="19" t="str">
        <f>IF(Employee_List!A54="","",Employee_List!A54)</f>
        <v/>
      </c>
      <c r="C56" s="19" t="str">
        <f>IF(B56="","",Employee_List!B54)</f>
        <v/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1" t="str">
        <f t="shared" si="13"/>
        <v/>
      </c>
      <c r="AJ56" s="21" t="str">
        <f t="shared" si="14"/>
        <v/>
      </c>
      <c r="AK56" s="22" t="str">
        <f t="shared" si="15"/>
        <v/>
      </c>
      <c r="AL56" s="21" t="str">
        <f t="shared" si="16"/>
        <v/>
      </c>
      <c r="AM56" s="21" t="str">
        <f t="shared" si="17"/>
        <v/>
      </c>
      <c r="AN56" s="21" t="str">
        <f t="shared" si="18"/>
        <v/>
      </c>
      <c r="AO56" s="21" t="str">
        <f t="shared" si="19"/>
        <v/>
      </c>
      <c r="AP56" s="21" t="str">
        <f t="shared" si="20"/>
        <v/>
      </c>
      <c r="AQ56" s="23" t="str">
        <f t="shared" si="21"/>
        <v/>
      </c>
      <c r="AR56" s="23" t="str">
        <f t="shared" si="22"/>
        <v/>
      </c>
      <c r="AS56" s="21" t="str">
        <f>IF($B56="","",Setting!$B$7-(AI56+AJ56+AK56+AL56+AM56+AN56+AO56+AP56))</f>
        <v/>
      </c>
    </row>
    <row r="57" spans="1:45" x14ac:dyDescent="0.35">
      <c r="A57" s="18" t="str">
        <f t="shared" si="12"/>
        <v/>
      </c>
      <c r="B57" s="19" t="str">
        <f>IF(Employee_List!A55="","",Employee_List!A55)</f>
        <v/>
      </c>
      <c r="C57" s="19" t="str">
        <f>IF(B57="","",Employee_List!B55)</f>
        <v/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1" t="str">
        <f t="shared" si="13"/>
        <v/>
      </c>
      <c r="AJ57" s="21" t="str">
        <f t="shared" si="14"/>
        <v/>
      </c>
      <c r="AK57" s="22" t="str">
        <f t="shared" si="15"/>
        <v/>
      </c>
      <c r="AL57" s="21" t="str">
        <f t="shared" si="16"/>
        <v/>
      </c>
      <c r="AM57" s="21" t="str">
        <f t="shared" si="17"/>
        <v/>
      </c>
      <c r="AN57" s="21" t="str">
        <f t="shared" si="18"/>
        <v/>
      </c>
      <c r="AO57" s="21" t="str">
        <f t="shared" si="19"/>
        <v/>
      </c>
      <c r="AP57" s="21" t="str">
        <f t="shared" si="20"/>
        <v/>
      </c>
      <c r="AQ57" s="23" t="str">
        <f t="shared" si="21"/>
        <v/>
      </c>
      <c r="AR57" s="23" t="str">
        <f t="shared" si="22"/>
        <v/>
      </c>
      <c r="AS57" s="21" t="str">
        <f>IF($B57="","",Setting!$B$7-(AI57+AJ57+AK57+AL57+AM57+AN57+AO57+AP57))</f>
        <v/>
      </c>
    </row>
    <row r="58" spans="1:45" x14ac:dyDescent="0.35">
      <c r="A58" s="18" t="str">
        <f t="shared" si="12"/>
        <v/>
      </c>
      <c r="B58" s="19" t="str">
        <f>IF(Employee_List!A56="","",Employee_List!A56)</f>
        <v/>
      </c>
      <c r="C58" s="19" t="str">
        <f>IF(B58="","",Employee_List!B56)</f>
        <v/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1" t="str">
        <f t="shared" si="13"/>
        <v/>
      </c>
      <c r="AJ58" s="21" t="str">
        <f t="shared" si="14"/>
        <v/>
      </c>
      <c r="AK58" s="22" t="str">
        <f t="shared" si="15"/>
        <v/>
      </c>
      <c r="AL58" s="21" t="str">
        <f t="shared" si="16"/>
        <v/>
      </c>
      <c r="AM58" s="21" t="str">
        <f t="shared" si="17"/>
        <v/>
      </c>
      <c r="AN58" s="21" t="str">
        <f t="shared" si="18"/>
        <v/>
      </c>
      <c r="AO58" s="21" t="str">
        <f t="shared" si="19"/>
        <v/>
      </c>
      <c r="AP58" s="21" t="str">
        <f t="shared" si="20"/>
        <v/>
      </c>
      <c r="AQ58" s="23" t="str">
        <f t="shared" si="21"/>
        <v/>
      </c>
      <c r="AR58" s="23" t="str">
        <f t="shared" si="22"/>
        <v/>
      </c>
      <c r="AS58" s="21" t="str">
        <f>IF($B58="","",Setting!$B$7-(AI58+AJ58+AK58+AL58+AM58+AN58+AO58+AP58))</f>
        <v/>
      </c>
    </row>
    <row r="59" spans="1:45" x14ac:dyDescent="0.35">
      <c r="A59" s="18" t="str">
        <f t="shared" si="12"/>
        <v/>
      </c>
      <c r="B59" s="19" t="str">
        <f>IF(Employee_List!A57="","",Employee_List!A57)</f>
        <v/>
      </c>
      <c r="C59" s="19" t="str">
        <f>IF(B59="","",Employee_List!B57)</f>
        <v/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1" t="str">
        <f t="shared" si="13"/>
        <v/>
      </c>
      <c r="AJ59" s="21" t="str">
        <f t="shared" si="14"/>
        <v/>
      </c>
      <c r="AK59" s="22" t="str">
        <f t="shared" si="15"/>
        <v/>
      </c>
      <c r="AL59" s="21" t="str">
        <f t="shared" si="16"/>
        <v/>
      </c>
      <c r="AM59" s="21" t="str">
        <f t="shared" si="17"/>
        <v/>
      </c>
      <c r="AN59" s="21" t="str">
        <f t="shared" si="18"/>
        <v/>
      </c>
      <c r="AO59" s="21" t="str">
        <f t="shared" si="19"/>
        <v/>
      </c>
      <c r="AP59" s="21" t="str">
        <f t="shared" si="20"/>
        <v/>
      </c>
      <c r="AQ59" s="23" t="str">
        <f t="shared" si="21"/>
        <v/>
      </c>
      <c r="AR59" s="23" t="str">
        <f t="shared" si="22"/>
        <v/>
      </c>
      <c r="AS59" s="21" t="str">
        <f>IF($B59="","",Setting!$B$7-(AI59+AJ59+AK59+AL59+AM59+AN59+AO59+AP59))</f>
        <v/>
      </c>
    </row>
    <row r="60" spans="1:45" x14ac:dyDescent="0.35">
      <c r="A60" s="18" t="str">
        <f t="shared" si="12"/>
        <v/>
      </c>
      <c r="B60" s="19" t="str">
        <f>IF(Employee_List!A58="","",Employee_List!A58)</f>
        <v/>
      </c>
      <c r="C60" s="19" t="str">
        <f>IF(B60="","",Employee_List!B58)</f>
        <v/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1" t="str">
        <f t="shared" si="13"/>
        <v/>
      </c>
      <c r="AJ60" s="21" t="str">
        <f t="shared" si="14"/>
        <v/>
      </c>
      <c r="AK60" s="22" t="str">
        <f t="shared" si="15"/>
        <v/>
      </c>
      <c r="AL60" s="21" t="str">
        <f t="shared" si="16"/>
        <v/>
      </c>
      <c r="AM60" s="21" t="str">
        <f t="shared" si="17"/>
        <v/>
      </c>
      <c r="AN60" s="21" t="str">
        <f t="shared" si="18"/>
        <v/>
      </c>
      <c r="AO60" s="21" t="str">
        <f t="shared" si="19"/>
        <v/>
      </c>
      <c r="AP60" s="21" t="str">
        <f t="shared" si="20"/>
        <v/>
      </c>
      <c r="AQ60" s="23" t="str">
        <f t="shared" si="21"/>
        <v/>
      </c>
      <c r="AR60" s="23" t="str">
        <f t="shared" si="22"/>
        <v/>
      </c>
      <c r="AS60" s="21" t="str">
        <f>IF($B60="","",Setting!$B$7-(AI60+AJ60+AK60+AL60+AM60+AN60+AO60+AP60))</f>
        <v/>
      </c>
    </row>
    <row r="61" spans="1:45" x14ac:dyDescent="0.35">
      <c r="A61" s="18" t="str">
        <f t="shared" si="12"/>
        <v/>
      </c>
      <c r="B61" s="19" t="str">
        <f>IF(Employee_List!A59="","",Employee_List!A59)</f>
        <v/>
      </c>
      <c r="C61" s="19" t="str">
        <f>IF(B61="","",Employee_List!B59)</f>
        <v/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1" t="str">
        <f t="shared" si="13"/>
        <v/>
      </c>
      <c r="AJ61" s="21" t="str">
        <f t="shared" si="14"/>
        <v/>
      </c>
      <c r="AK61" s="22" t="str">
        <f t="shared" si="15"/>
        <v/>
      </c>
      <c r="AL61" s="21" t="str">
        <f t="shared" si="16"/>
        <v/>
      </c>
      <c r="AM61" s="21" t="str">
        <f t="shared" si="17"/>
        <v/>
      </c>
      <c r="AN61" s="21" t="str">
        <f t="shared" si="18"/>
        <v/>
      </c>
      <c r="AO61" s="21" t="str">
        <f t="shared" si="19"/>
        <v/>
      </c>
      <c r="AP61" s="21" t="str">
        <f t="shared" si="20"/>
        <v/>
      </c>
      <c r="AQ61" s="23" t="str">
        <f t="shared" si="21"/>
        <v/>
      </c>
      <c r="AR61" s="23" t="str">
        <f t="shared" si="22"/>
        <v/>
      </c>
      <c r="AS61" s="21" t="str">
        <f>IF($B61="","",Setting!$B$7-(AI61+AJ61+AK61+AL61+AM61+AN61+AO61+AP61))</f>
        <v/>
      </c>
    </row>
    <row r="62" spans="1:45" x14ac:dyDescent="0.35">
      <c r="A62" s="18" t="str">
        <f t="shared" si="12"/>
        <v/>
      </c>
      <c r="B62" s="19" t="str">
        <f>IF(Employee_List!A60="","",Employee_List!A60)</f>
        <v/>
      </c>
      <c r="C62" s="19" t="str">
        <f>IF(B62="","",Employee_List!B60)</f>
        <v/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1" t="str">
        <f t="shared" si="13"/>
        <v/>
      </c>
      <c r="AJ62" s="21" t="str">
        <f t="shared" si="14"/>
        <v/>
      </c>
      <c r="AK62" s="22" t="str">
        <f t="shared" si="15"/>
        <v/>
      </c>
      <c r="AL62" s="21" t="str">
        <f t="shared" si="16"/>
        <v/>
      </c>
      <c r="AM62" s="21" t="str">
        <f t="shared" si="17"/>
        <v/>
      </c>
      <c r="AN62" s="21" t="str">
        <f t="shared" si="18"/>
        <v/>
      </c>
      <c r="AO62" s="21" t="str">
        <f t="shared" si="19"/>
        <v/>
      </c>
      <c r="AP62" s="21" t="str">
        <f t="shared" si="20"/>
        <v/>
      </c>
      <c r="AQ62" s="23" t="str">
        <f t="shared" si="21"/>
        <v/>
      </c>
      <c r="AR62" s="23" t="str">
        <f t="shared" si="22"/>
        <v/>
      </c>
      <c r="AS62" s="21" t="str">
        <f>IF($B62="","",Setting!$B$7-(AI62+AJ62+AK62+AL62+AM62+AN62+AO62+AP62))</f>
        <v/>
      </c>
    </row>
    <row r="63" spans="1:45" x14ac:dyDescent="0.35">
      <c r="A63" s="18" t="str">
        <f t="shared" si="12"/>
        <v/>
      </c>
      <c r="B63" s="19" t="str">
        <f>IF(Employee_List!A61="","",Employee_List!A61)</f>
        <v/>
      </c>
      <c r="C63" s="19" t="str">
        <f>IF(B63="","",Employee_List!B61)</f>
        <v/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1" t="str">
        <f t="shared" si="13"/>
        <v/>
      </c>
      <c r="AJ63" s="21" t="str">
        <f t="shared" si="14"/>
        <v/>
      </c>
      <c r="AK63" s="22" t="str">
        <f t="shared" si="15"/>
        <v/>
      </c>
      <c r="AL63" s="21" t="str">
        <f t="shared" si="16"/>
        <v/>
      </c>
      <c r="AM63" s="21" t="str">
        <f t="shared" si="17"/>
        <v/>
      </c>
      <c r="AN63" s="21" t="str">
        <f t="shared" si="18"/>
        <v/>
      </c>
      <c r="AO63" s="21" t="str">
        <f t="shared" si="19"/>
        <v/>
      </c>
      <c r="AP63" s="21" t="str">
        <f t="shared" si="20"/>
        <v/>
      </c>
      <c r="AQ63" s="23" t="str">
        <f t="shared" si="21"/>
        <v/>
      </c>
      <c r="AR63" s="23" t="str">
        <f t="shared" si="22"/>
        <v/>
      </c>
      <c r="AS63" s="21" t="str">
        <f>IF($B63="","",Setting!$B$7-(AI63+AJ63+AK63+AL63+AM63+AN63+AO63+AP63))</f>
        <v/>
      </c>
    </row>
    <row r="64" spans="1:45" x14ac:dyDescent="0.35">
      <c r="A64" s="18" t="str">
        <f t="shared" si="12"/>
        <v/>
      </c>
      <c r="B64" s="19" t="str">
        <f>IF(Employee_List!A62="","",Employee_List!A62)</f>
        <v/>
      </c>
      <c r="C64" s="19" t="str">
        <f>IF(B64="","",Employee_List!B62)</f>
        <v/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 t="str">
        <f t="shared" si="13"/>
        <v/>
      </c>
      <c r="AJ64" s="21" t="str">
        <f t="shared" si="14"/>
        <v/>
      </c>
      <c r="AK64" s="22" t="str">
        <f t="shared" si="15"/>
        <v/>
      </c>
      <c r="AL64" s="21" t="str">
        <f t="shared" si="16"/>
        <v/>
      </c>
      <c r="AM64" s="21" t="str">
        <f t="shared" si="17"/>
        <v/>
      </c>
      <c r="AN64" s="21" t="str">
        <f t="shared" si="18"/>
        <v/>
      </c>
      <c r="AO64" s="21" t="str">
        <f t="shared" si="19"/>
        <v/>
      </c>
      <c r="AP64" s="21" t="str">
        <f t="shared" si="20"/>
        <v/>
      </c>
      <c r="AQ64" s="23" t="str">
        <f t="shared" si="21"/>
        <v/>
      </c>
      <c r="AR64" s="23" t="str">
        <f t="shared" si="22"/>
        <v/>
      </c>
      <c r="AS64" s="21" t="str">
        <f>IF($B64="","",Setting!$B$7-(AI64+AJ64+AK64+AL64+AM64+AN64+AO64+AP64))</f>
        <v/>
      </c>
    </row>
    <row r="65" spans="1:45" x14ac:dyDescent="0.35">
      <c r="A65" s="18" t="str">
        <f t="shared" si="12"/>
        <v/>
      </c>
      <c r="B65" s="19" t="str">
        <f>IF(Employee_List!A63="","",Employee_List!A63)</f>
        <v/>
      </c>
      <c r="C65" s="19" t="str">
        <f>IF(B65="","",Employee_List!B63)</f>
        <v/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1" t="str">
        <f t="shared" si="13"/>
        <v/>
      </c>
      <c r="AJ65" s="21" t="str">
        <f t="shared" si="14"/>
        <v/>
      </c>
      <c r="AK65" s="22" t="str">
        <f t="shared" si="15"/>
        <v/>
      </c>
      <c r="AL65" s="21" t="str">
        <f t="shared" si="16"/>
        <v/>
      </c>
      <c r="AM65" s="21" t="str">
        <f t="shared" si="17"/>
        <v/>
      </c>
      <c r="AN65" s="21" t="str">
        <f t="shared" si="18"/>
        <v/>
      </c>
      <c r="AO65" s="21" t="str">
        <f t="shared" si="19"/>
        <v/>
      </c>
      <c r="AP65" s="21" t="str">
        <f t="shared" si="20"/>
        <v/>
      </c>
      <c r="AQ65" s="23" t="str">
        <f t="shared" si="21"/>
        <v/>
      </c>
      <c r="AR65" s="23" t="str">
        <f t="shared" si="22"/>
        <v/>
      </c>
      <c r="AS65" s="21" t="str">
        <f>IF($B65="","",Setting!$B$7-(AI65+AJ65+AK65+AL65+AM65+AN65+AO65+AP65))</f>
        <v/>
      </c>
    </row>
    <row r="66" spans="1:45" x14ac:dyDescent="0.35">
      <c r="A66" s="18" t="str">
        <f t="shared" si="12"/>
        <v/>
      </c>
      <c r="B66" s="19" t="str">
        <f>IF(Employee_List!A64="","",Employee_List!A64)</f>
        <v/>
      </c>
      <c r="C66" s="19" t="str">
        <f>IF(B66="","",Employee_List!B64)</f>
        <v/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1" t="str">
        <f t="shared" si="13"/>
        <v/>
      </c>
      <c r="AJ66" s="21" t="str">
        <f t="shared" si="14"/>
        <v/>
      </c>
      <c r="AK66" s="22" t="str">
        <f t="shared" si="15"/>
        <v/>
      </c>
      <c r="AL66" s="21" t="str">
        <f t="shared" si="16"/>
        <v/>
      </c>
      <c r="AM66" s="21" t="str">
        <f t="shared" si="17"/>
        <v/>
      </c>
      <c r="AN66" s="21" t="str">
        <f t="shared" si="18"/>
        <v/>
      </c>
      <c r="AO66" s="21" t="str">
        <f t="shared" si="19"/>
        <v/>
      </c>
      <c r="AP66" s="21" t="str">
        <f t="shared" si="20"/>
        <v/>
      </c>
      <c r="AQ66" s="23" t="str">
        <f t="shared" si="21"/>
        <v/>
      </c>
      <c r="AR66" s="23" t="str">
        <f t="shared" si="22"/>
        <v/>
      </c>
      <c r="AS66" s="21" t="str">
        <f>IF($B66="","",Setting!$B$7-(AI66+AJ66+AK66+AL66+AM66+AN66+AO66+AP66))</f>
        <v/>
      </c>
    </row>
    <row r="67" spans="1:45" x14ac:dyDescent="0.35">
      <c r="A67" s="18" t="str">
        <f t="shared" si="12"/>
        <v/>
      </c>
      <c r="B67" s="19" t="str">
        <f>IF(Employee_List!A65="","",Employee_List!A65)</f>
        <v/>
      </c>
      <c r="C67" s="19" t="str">
        <f>IF(B67="","",Employee_List!B65)</f>
        <v/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1" t="str">
        <f t="shared" si="13"/>
        <v/>
      </c>
      <c r="AJ67" s="21" t="str">
        <f t="shared" si="14"/>
        <v/>
      </c>
      <c r="AK67" s="22" t="str">
        <f t="shared" si="15"/>
        <v/>
      </c>
      <c r="AL67" s="21" t="str">
        <f t="shared" si="16"/>
        <v/>
      </c>
      <c r="AM67" s="21" t="str">
        <f t="shared" si="17"/>
        <v/>
      </c>
      <c r="AN67" s="21" t="str">
        <f t="shared" si="18"/>
        <v/>
      </c>
      <c r="AO67" s="21" t="str">
        <f t="shared" si="19"/>
        <v/>
      </c>
      <c r="AP67" s="21" t="str">
        <f t="shared" si="20"/>
        <v/>
      </c>
      <c r="AQ67" s="23" t="str">
        <f t="shared" si="21"/>
        <v/>
      </c>
      <c r="AR67" s="23" t="str">
        <f t="shared" si="22"/>
        <v/>
      </c>
      <c r="AS67" s="21" t="str">
        <f>IF($B67="","",Setting!$B$7-(AI67+AJ67+AK67+AL67+AM67+AN67+AO67+AP67))</f>
        <v/>
      </c>
    </row>
    <row r="68" spans="1:45" x14ac:dyDescent="0.35">
      <c r="A68" s="18" t="str">
        <f t="shared" si="12"/>
        <v/>
      </c>
      <c r="B68" s="19" t="str">
        <f>IF(Employee_List!A66="","",Employee_List!A66)</f>
        <v/>
      </c>
      <c r="C68" s="19" t="str">
        <f>IF(B68="","",Employee_List!B66)</f>
        <v/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1" t="str">
        <f t="shared" si="13"/>
        <v/>
      </c>
      <c r="AJ68" s="21" t="str">
        <f t="shared" si="14"/>
        <v/>
      </c>
      <c r="AK68" s="22" t="str">
        <f t="shared" si="15"/>
        <v/>
      </c>
      <c r="AL68" s="21" t="str">
        <f t="shared" si="16"/>
        <v/>
      </c>
      <c r="AM68" s="21" t="str">
        <f t="shared" si="17"/>
        <v/>
      </c>
      <c r="AN68" s="21" t="str">
        <f t="shared" si="18"/>
        <v/>
      </c>
      <c r="AO68" s="21" t="str">
        <f t="shared" si="19"/>
        <v/>
      </c>
      <c r="AP68" s="21" t="str">
        <f t="shared" si="20"/>
        <v/>
      </c>
      <c r="AQ68" s="23" t="str">
        <f t="shared" si="21"/>
        <v/>
      </c>
      <c r="AR68" s="23" t="str">
        <f t="shared" si="22"/>
        <v/>
      </c>
      <c r="AS68" s="21" t="str">
        <f>IF($B68="","",Setting!$B$7-(AI68+AJ68+AK68+AL68+AM68+AN68+AO68+AP68))</f>
        <v/>
      </c>
    </row>
    <row r="69" spans="1:45" x14ac:dyDescent="0.35">
      <c r="A69" s="18" t="str">
        <f t="shared" si="12"/>
        <v/>
      </c>
      <c r="B69" s="19" t="str">
        <f>IF(Employee_List!A67="","",Employee_List!A67)</f>
        <v/>
      </c>
      <c r="C69" s="19" t="str">
        <f>IF(B69="","",Employee_List!B67)</f>
        <v/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1" t="str">
        <f t="shared" si="13"/>
        <v/>
      </c>
      <c r="AJ69" s="21" t="str">
        <f t="shared" si="14"/>
        <v/>
      </c>
      <c r="AK69" s="22" t="str">
        <f t="shared" si="15"/>
        <v/>
      </c>
      <c r="AL69" s="21" t="str">
        <f t="shared" si="16"/>
        <v/>
      </c>
      <c r="AM69" s="21" t="str">
        <f t="shared" si="17"/>
        <v/>
      </c>
      <c r="AN69" s="21" t="str">
        <f t="shared" si="18"/>
        <v/>
      </c>
      <c r="AO69" s="21" t="str">
        <f t="shared" si="19"/>
        <v/>
      </c>
      <c r="AP69" s="21" t="str">
        <f t="shared" si="20"/>
        <v/>
      </c>
      <c r="AQ69" s="23" t="str">
        <f t="shared" si="21"/>
        <v/>
      </c>
      <c r="AR69" s="23" t="str">
        <f t="shared" si="22"/>
        <v/>
      </c>
      <c r="AS69" s="21" t="str">
        <f>IF($B69="","",Setting!$B$7-(AI69+AJ69+AK69+AL69+AM69+AN69+AO69+AP69))</f>
        <v/>
      </c>
    </row>
    <row r="70" spans="1:45" x14ac:dyDescent="0.35">
      <c r="A70" s="18" t="str">
        <f t="shared" si="12"/>
        <v/>
      </c>
      <c r="B70" s="19" t="str">
        <f>IF(Employee_List!A68="","",Employee_List!A68)</f>
        <v/>
      </c>
      <c r="C70" s="19" t="str">
        <f>IF(B70="","",Employee_List!B68)</f>
        <v/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1" t="str">
        <f t="shared" si="13"/>
        <v/>
      </c>
      <c r="AJ70" s="21" t="str">
        <f t="shared" si="14"/>
        <v/>
      </c>
      <c r="AK70" s="22" t="str">
        <f t="shared" si="15"/>
        <v/>
      </c>
      <c r="AL70" s="21" t="str">
        <f t="shared" si="16"/>
        <v/>
      </c>
      <c r="AM70" s="21" t="str">
        <f t="shared" si="17"/>
        <v/>
      </c>
      <c r="AN70" s="21" t="str">
        <f t="shared" si="18"/>
        <v/>
      </c>
      <c r="AO70" s="21" t="str">
        <f t="shared" si="19"/>
        <v/>
      </c>
      <c r="AP70" s="21" t="str">
        <f t="shared" si="20"/>
        <v/>
      </c>
      <c r="AQ70" s="23" t="str">
        <f t="shared" si="21"/>
        <v/>
      </c>
      <c r="AR70" s="23" t="str">
        <f t="shared" si="22"/>
        <v/>
      </c>
      <c r="AS70" s="21" t="str">
        <f>IF($B70="","",Setting!$B$7-(AI70+AJ70+AK70+AL70+AM70+AN70+AO70+AP70))</f>
        <v/>
      </c>
    </row>
    <row r="71" spans="1:45" x14ac:dyDescent="0.35">
      <c r="A71" s="18" t="str">
        <f t="shared" ref="A71:A102" si="23">IF(B71="","",ROW()-6)</f>
        <v/>
      </c>
      <c r="B71" s="19" t="str">
        <f>IF(Employee_List!A69="","",Employee_List!A69)</f>
        <v/>
      </c>
      <c r="C71" s="19" t="str">
        <f>IF(B71="","",Employee_List!B69)</f>
        <v/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1" t="str">
        <f t="shared" ref="AI71:AI106" si="24">IF($B71="","",COUNTIF($D71:$AH71,"P"))</f>
        <v/>
      </c>
      <c r="AJ71" s="21" t="str">
        <f t="shared" ref="AJ71:AJ106" si="25">IF($B71="","",COUNTIF($D71:$AH71,"A"))</f>
        <v/>
      </c>
      <c r="AK71" s="22" t="str">
        <f t="shared" ref="AK71:AK106" si="26">IF($B71="","",COUNTIF($D71:$AH71,"HD"))</f>
        <v/>
      </c>
      <c r="AL71" s="21" t="str">
        <f t="shared" ref="AL71:AL106" si="27">IF($B71="","",COUNTIF($D71:$AH71,"WO")+SUMPRODUCT(($D71:$AH71="")*($D$6:$AH$6="WO")))</f>
        <v/>
      </c>
      <c r="AM71" s="21" t="str">
        <f t="shared" ref="AM71:AM106" si="28">IF($B71="","",COUNTIF($D71:$AH71,"PH")+SUMPRODUCT(($D71:$AH71="")*($D$6:$AH$6="PH")))</f>
        <v/>
      </c>
      <c r="AN71" s="21" t="str">
        <f t="shared" ref="AN71:AN106" si="29">IF($B71="","",COUNTIF($D71:$AH71,"CL"))</f>
        <v/>
      </c>
      <c r="AO71" s="21" t="str">
        <f t="shared" ref="AO71:AO106" si="30">IF($B71="","",COUNTIF($D71:$AH71,"SL"))</f>
        <v/>
      </c>
      <c r="AP71" s="21" t="str">
        <f t="shared" ref="AP71:AP106" si="31">IF($B71="","",COUNTIF($D71:$AH71,"PL"))</f>
        <v/>
      </c>
      <c r="AQ71" s="23" t="str">
        <f t="shared" ref="AQ71:AQ102" si="32">IF($B71="","",AI71+0.5*AK71+AL71+AM71+AN71+AO71+AP71)</f>
        <v/>
      </c>
      <c r="AR71" s="23" t="str">
        <f t="shared" ref="AR71:AR106" si="33">IF($B71="","",AJ71+0.5*AK71)</f>
        <v/>
      </c>
      <c r="AS71" s="21" t="str">
        <f>IF($B71="","",Setting!$B$7-(AI71+AJ71+AK71+AL71+AM71+AN71+AO71+AP71))</f>
        <v/>
      </c>
    </row>
    <row r="72" spans="1:45" x14ac:dyDescent="0.35">
      <c r="A72" s="18" t="str">
        <f t="shared" si="23"/>
        <v/>
      </c>
      <c r="B72" s="19" t="str">
        <f>IF(Employee_List!A70="","",Employee_List!A70)</f>
        <v/>
      </c>
      <c r="C72" s="19" t="str">
        <f>IF(B72="","",Employee_List!B70)</f>
        <v/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1" t="str">
        <f t="shared" si="24"/>
        <v/>
      </c>
      <c r="AJ72" s="21" t="str">
        <f t="shared" si="25"/>
        <v/>
      </c>
      <c r="AK72" s="22" t="str">
        <f t="shared" si="26"/>
        <v/>
      </c>
      <c r="AL72" s="21" t="str">
        <f t="shared" si="27"/>
        <v/>
      </c>
      <c r="AM72" s="21" t="str">
        <f t="shared" si="28"/>
        <v/>
      </c>
      <c r="AN72" s="21" t="str">
        <f t="shared" si="29"/>
        <v/>
      </c>
      <c r="AO72" s="21" t="str">
        <f t="shared" si="30"/>
        <v/>
      </c>
      <c r="AP72" s="21" t="str">
        <f t="shared" si="31"/>
        <v/>
      </c>
      <c r="AQ72" s="23" t="str">
        <f t="shared" si="32"/>
        <v/>
      </c>
      <c r="AR72" s="23" t="str">
        <f t="shared" si="33"/>
        <v/>
      </c>
      <c r="AS72" s="21" t="str">
        <f>IF($B72="","",Setting!$B$7-(AI72+AJ72+AK72+AL72+AM72+AN72+AO72+AP72))</f>
        <v/>
      </c>
    </row>
    <row r="73" spans="1:45" x14ac:dyDescent="0.35">
      <c r="A73" s="18" t="str">
        <f t="shared" si="23"/>
        <v/>
      </c>
      <c r="B73" s="19" t="str">
        <f>IF(Employee_List!A71="","",Employee_List!A71)</f>
        <v/>
      </c>
      <c r="C73" s="19" t="str">
        <f>IF(B73="","",Employee_List!B71)</f>
        <v/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1" t="str">
        <f t="shared" si="24"/>
        <v/>
      </c>
      <c r="AJ73" s="21" t="str">
        <f t="shared" si="25"/>
        <v/>
      </c>
      <c r="AK73" s="22" t="str">
        <f t="shared" si="26"/>
        <v/>
      </c>
      <c r="AL73" s="21" t="str">
        <f t="shared" si="27"/>
        <v/>
      </c>
      <c r="AM73" s="21" t="str">
        <f t="shared" si="28"/>
        <v/>
      </c>
      <c r="AN73" s="21" t="str">
        <f t="shared" si="29"/>
        <v/>
      </c>
      <c r="AO73" s="21" t="str">
        <f t="shared" si="30"/>
        <v/>
      </c>
      <c r="AP73" s="21" t="str">
        <f t="shared" si="31"/>
        <v/>
      </c>
      <c r="AQ73" s="23" t="str">
        <f t="shared" si="32"/>
        <v/>
      </c>
      <c r="AR73" s="23" t="str">
        <f t="shared" si="33"/>
        <v/>
      </c>
      <c r="AS73" s="21" t="str">
        <f>IF($B73="","",Setting!$B$7-(AI73+AJ73+AK73+AL73+AM73+AN73+AO73+AP73))</f>
        <v/>
      </c>
    </row>
    <row r="74" spans="1:45" x14ac:dyDescent="0.35">
      <c r="A74" s="18" t="str">
        <f t="shared" si="23"/>
        <v/>
      </c>
      <c r="B74" s="19" t="str">
        <f>IF(Employee_List!A72="","",Employee_List!A72)</f>
        <v/>
      </c>
      <c r="C74" s="19" t="str">
        <f>IF(B74="","",Employee_List!B72)</f>
        <v/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 t="str">
        <f t="shared" si="24"/>
        <v/>
      </c>
      <c r="AJ74" s="21" t="str">
        <f t="shared" si="25"/>
        <v/>
      </c>
      <c r="AK74" s="22" t="str">
        <f t="shared" si="26"/>
        <v/>
      </c>
      <c r="AL74" s="21" t="str">
        <f t="shared" si="27"/>
        <v/>
      </c>
      <c r="AM74" s="21" t="str">
        <f t="shared" si="28"/>
        <v/>
      </c>
      <c r="AN74" s="21" t="str">
        <f t="shared" si="29"/>
        <v/>
      </c>
      <c r="AO74" s="21" t="str">
        <f t="shared" si="30"/>
        <v/>
      </c>
      <c r="AP74" s="21" t="str">
        <f t="shared" si="31"/>
        <v/>
      </c>
      <c r="AQ74" s="23" t="str">
        <f t="shared" si="32"/>
        <v/>
      </c>
      <c r="AR74" s="23" t="str">
        <f t="shared" si="33"/>
        <v/>
      </c>
      <c r="AS74" s="21" t="str">
        <f>IF($B74="","",Setting!$B$7-(AI74+AJ74+AK74+AL74+AM74+AN74+AO74+AP74))</f>
        <v/>
      </c>
    </row>
    <row r="75" spans="1:45" x14ac:dyDescent="0.35">
      <c r="A75" s="18" t="str">
        <f t="shared" si="23"/>
        <v/>
      </c>
      <c r="B75" s="19" t="str">
        <f>IF(Employee_List!A73="","",Employee_List!A73)</f>
        <v/>
      </c>
      <c r="C75" s="19" t="str">
        <f>IF(B75="","",Employee_List!B73)</f>
        <v/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 t="str">
        <f t="shared" si="24"/>
        <v/>
      </c>
      <c r="AJ75" s="21" t="str">
        <f t="shared" si="25"/>
        <v/>
      </c>
      <c r="AK75" s="22" t="str">
        <f t="shared" si="26"/>
        <v/>
      </c>
      <c r="AL75" s="21" t="str">
        <f t="shared" si="27"/>
        <v/>
      </c>
      <c r="AM75" s="21" t="str">
        <f t="shared" si="28"/>
        <v/>
      </c>
      <c r="AN75" s="21" t="str">
        <f t="shared" si="29"/>
        <v/>
      </c>
      <c r="AO75" s="21" t="str">
        <f t="shared" si="30"/>
        <v/>
      </c>
      <c r="AP75" s="21" t="str">
        <f t="shared" si="31"/>
        <v/>
      </c>
      <c r="AQ75" s="23" t="str">
        <f t="shared" si="32"/>
        <v/>
      </c>
      <c r="AR75" s="23" t="str">
        <f t="shared" si="33"/>
        <v/>
      </c>
      <c r="AS75" s="21" t="str">
        <f>IF($B75="","",Setting!$B$7-(AI75+AJ75+AK75+AL75+AM75+AN75+AO75+AP75))</f>
        <v/>
      </c>
    </row>
    <row r="76" spans="1:45" x14ac:dyDescent="0.35">
      <c r="A76" s="18" t="str">
        <f t="shared" si="23"/>
        <v/>
      </c>
      <c r="B76" s="19" t="str">
        <f>IF(Employee_List!A74="","",Employee_List!A74)</f>
        <v/>
      </c>
      <c r="C76" s="19" t="str">
        <f>IF(B76="","",Employee_List!B74)</f>
        <v/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1" t="str">
        <f t="shared" si="24"/>
        <v/>
      </c>
      <c r="AJ76" s="21" t="str">
        <f t="shared" si="25"/>
        <v/>
      </c>
      <c r="AK76" s="22" t="str">
        <f t="shared" si="26"/>
        <v/>
      </c>
      <c r="AL76" s="21" t="str">
        <f t="shared" si="27"/>
        <v/>
      </c>
      <c r="AM76" s="21" t="str">
        <f t="shared" si="28"/>
        <v/>
      </c>
      <c r="AN76" s="21" t="str">
        <f t="shared" si="29"/>
        <v/>
      </c>
      <c r="AO76" s="21" t="str">
        <f t="shared" si="30"/>
        <v/>
      </c>
      <c r="AP76" s="21" t="str">
        <f t="shared" si="31"/>
        <v/>
      </c>
      <c r="AQ76" s="23" t="str">
        <f t="shared" si="32"/>
        <v/>
      </c>
      <c r="AR76" s="23" t="str">
        <f t="shared" si="33"/>
        <v/>
      </c>
      <c r="AS76" s="21" t="str">
        <f>IF($B76="","",Setting!$B$7-(AI76+AJ76+AK76+AL76+AM76+AN76+AO76+AP76))</f>
        <v/>
      </c>
    </row>
    <row r="77" spans="1:45" x14ac:dyDescent="0.35">
      <c r="A77" s="18" t="str">
        <f t="shared" si="23"/>
        <v/>
      </c>
      <c r="B77" s="19" t="str">
        <f>IF(Employee_List!A75="","",Employee_List!A75)</f>
        <v/>
      </c>
      <c r="C77" s="19" t="str">
        <f>IF(B77="","",Employee_List!B75)</f>
        <v/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1" t="str">
        <f t="shared" si="24"/>
        <v/>
      </c>
      <c r="AJ77" s="21" t="str">
        <f t="shared" si="25"/>
        <v/>
      </c>
      <c r="AK77" s="22" t="str">
        <f t="shared" si="26"/>
        <v/>
      </c>
      <c r="AL77" s="21" t="str">
        <f t="shared" si="27"/>
        <v/>
      </c>
      <c r="AM77" s="21" t="str">
        <f t="shared" si="28"/>
        <v/>
      </c>
      <c r="AN77" s="21" t="str">
        <f t="shared" si="29"/>
        <v/>
      </c>
      <c r="AO77" s="21" t="str">
        <f t="shared" si="30"/>
        <v/>
      </c>
      <c r="AP77" s="21" t="str">
        <f t="shared" si="31"/>
        <v/>
      </c>
      <c r="AQ77" s="23" t="str">
        <f t="shared" si="32"/>
        <v/>
      </c>
      <c r="AR77" s="23" t="str">
        <f t="shared" si="33"/>
        <v/>
      </c>
      <c r="AS77" s="21" t="str">
        <f>IF($B77="","",Setting!$B$7-(AI77+AJ77+AK77+AL77+AM77+AN77+AO77+AP77))</f>
        <v/>
      </c>
    </row>
    <row r="78" spans="1:45" x14ac:dyDescent="0.35">
      <c r="A78" s="18" t="str">
        <f t="shared" si="23"/>
        <v/>
      </c>
      <c r="B78" s="19" t="str">
        <f>IF(Employee_List!A76="","",Employee_List!A76)</f>
        <v/>
      </c>
      <c r="C78" s="19" t="str">
        <f>IF(B78="","",Employee_List!B76)</f>
        <v/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1" t="str">
        <f t="shared" si="24"/>
        <v/>
      </c>
      <c r="AJ78" s="21" t="str">
        <f t="shared" si="25"/>
        <v/>
      </c>
      <c r="AK78" s="22" t="str">
        <f t="shared" si="26"/>
        <v/>
      </c>
      <c r="AL78" s="21" t="str">
        <f t="shared" si="27"/>
        <v/>
      </c>
      <c r="AM78" s="21" t="str">
        <f t="shared" si="28"/>
        <v/>
      </c>
      <c r="AN78" s="21" t="str">
        <f t="shared" si="29"/>
        <v/>
      </c>
      <c r="AO78" s="21" t="str">
        <f t="shared" si="30"/>
        <v/>
      </c>
      <c r="AP78" s="21" t="str">
        <f t="shared" si="31"/>
        <v/>
      </c>
      <c r="AQ78" s="23" t="str">
        <f t="shared" si="32"/>
        <v/>
      </c>
      <c r="AR78" s="23" t="str">
        <f t="shared" si="33"/>
        <v/>
      </c>
      <c r="AS78" s="21" t="str">
        <f>IF($B78="","",Setting!$B$7-(AI78+AJ78+AK78+AL78+AM78+AN78+AO78+AP78))</f>
        <v/>
      </c>
    </row>
    <row r="79" spans="1:45" x14ac:dyDescent="0.35">
      <c r="A79" s="18" t="str">
        <f t="shared" si="23"/>
        <v/>
      </c>
      <c r="B79" s="19" t="str">
        <f>IF(Employee_List!A77="","",Employee_List!A77)</f>
        <v/>
      </c>
      <c r="C79" s="19" t="str">
        <f>IF(B79="","",Employee_List!B77)</f>
        <v/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1" t="str">
        <f t="shared" si="24"/>
        <v/>
      </c>
      <c r="AJ79" s="21" t="str">
        <f t="shared" si="25"/>
        <v/>
      </c>
      <c r="AK79" s="22" t="str">
        <f t="shared" si="26"/>
        <v/>
      </c>
      <c r="AL79" s="21" t="str">
        <f t="shared" si="27"/>
        <v/>
      </c>
      <c r="AM79" s="21" t="str">
        <f t="shared" si="28"/>
        <v/>
      </c>
      <c r="AN79" s="21" t="str">
        <f t="shared" si="29"/>
        <v/>
      </c>
      <c r="AO79" s="21" t="str">
        <f t="shared" si="30"/>
        <v/>
      </c>
      <c r="AP79" s="21" t="str">
        <f t="shared" si="31"/>
        <v/>
      </c>
      <c r="AQ79" s="23" t="str">
        <f t="shared" si="32"/>
        <v/>
      </c>
      <c r="AR79" s="23" t="str">
        <f t="shared" si="33"/>
        <v/>
      </c>
      <c r="AS79" s="21" t="str">
        <f>IF($B79="","",Setting!$B$7-(AI79+AJ79+AK79+AL79+AM79+AN79+AO79+AP79))</f>
        <v/>
      </c>
    </row>
    <row r="80" spans="1:45" x14ac:dyDescent="0.35">
      <c r="A80" s="18" t="str">
        <f t="shared" si="23"/>
        <v/>
      </c>
      <c r="B80" s="19" t="str">
        <f>IF(Employee_List!A78="","",Employee_List!A78)</f>
        <v/>
      </c>
      <c r="C80" s="19" t="str">
        <f>IF(B80="","",Employee_List!B78)</f>
        <v/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1" t="str">
        <f t="shared" si="24"/>
        <v/>
      </c>
      <c r="AJ80" s="21" t="str">
        <f t="shared" si="25"/>
        <v/>
      </c>
      <c r="AK80" s="22" t="str">
        <f t="shared" si="26"/>
        <v/>
      </c>
      <c r="AL80" s="21" t="str">
        <f t="shared" si="27"/>
        <v/>
      </c>
      <c r="AM80" s="21" t="str">
        <f t="shared" si="28"/>
        <v/>
      </c>
      <c r="AN80" s="21" t="str">
        <f t="shared" si="29"/>
        <v/>
      </c>
      <c r="AO80" s="21" t="str">
        <f t="shared" si="30"/>
        <v/>
      </c>
      <c r="AP80" s="21" t="str">
        <f t="shared" si="31"/>
        <v/>
      </c>
      <c r="AQ80" s="23" t="str">
        <f t="shared" si="32"/>
        <v/>
      </c>
      <c r="AR80" s="23" t="str">
        <f t="shared" si="33"/>
        <v/>
      </c>
      <c r="AS80" s="21" t="str">
        <f>IF($B80="","",Setting!$B$7-(AI80+AJ80+AK80+AL80+AM80+AN80+AO80+AP80))</f>
        <v/>
      </c>
    </row>
    <row r="81" spans="1:45" x14ac:dyDescent="0.35">
      <c r="A81" s="18" t="str">
        <f t="shared" si="23"/>
        <v/>
      </c>
      <c r="B81" s="19" t="str">
        <f>IF(Employee_List!A79="","",Employee_List!A79)</f>
        <v/>
      </c>
      <c r="C81" s="19" t="str">
        <f>IF(B81="","",Employee_List!B79)</f>
        <v/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1" t="str">
        <f t="shared" si="24"/>
        <v/>
      </c>
      <c r="AJ81" s="21" t="str">
        <f t="shared" si="25"/>
        <v/>
      </c>
      <c r="AK81" s="22" t="str">
        <f t="shared" si="26"/>
        <v/>
      </c>
      <c r="AL81" s="21" t="str">
        <f t="shared" si="27"/>
        <v/>
      </c>
      <c r="AM81" s="21" t="str">
        <f t="shared" si="28"/>
        <v/>
      </c>
      <c r="AN81" s="21" t="str">
        <f t="shared" si="29"/>
        <v/>
      </c>
      <c r="AO81" s="21" t="str">
        <f t="shared" si="30"/>
        <v/>
      </c>
      <c r="AP81" s="21" t="str">
        <f t="shared" si="31"/>
        <v/>
      </c>
      <c r="AQ81" s="23" t="str">
        <f t="shared" si="32"/>
        <v/>
      </c>
      <c r="AR81" s="23" t="str">
        <f t="shared" si="33"/>
        <v/>
      </c>
      <c r="AS81" s="21" t="str">
        <f>IF($B81="","",Setting!$B$7-(AI81+AJ81+AK81+AL81+AM81+AN81+AO81+AP81))</f>
        <v/>
      </c>
    </row>
    <row r="82" spans="1:45" x14ac:dyDescent="0.35">
      <c r="A82" s="18" t="str">
        <f t="shared" si="23"/>
        <v/>
      </c>
      <c r="B82" s="19" t="str">
        <f>IF(Employee_List!A80="","",Employee_List!A80)</f>
        <v/>
      </c>
      <c r="C82" s="19" t="str">
        <f>IF(B82="","",Employee_List!B80)</f>
        <v/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1" t="str">
        <f t="shared" si="24"/>
        <v/>
      </c>
      <c r="AJ82" s="21" t="str">
        <f t="shared" si="25"/>
        <v/>
      </c>
      <c r="AK82" s="22" t="str">
        <f t="shared" si="26"/>
        <v/>
      </c>
      <c r="AL82" s="21" t="str">
        <f t="shared" si="27"/>
        <v/>
      </c>
      <c r="AM82" s="21" t="str">
        <f t="shared" si="28"/>
        <v/>
      </c>
      <c r="AN82" s="21" t="str">
        <f t="shared" si="29"/>
        <v/>
      </c>
      <c r="AO82" s="21" t="str">
        <f t="shared" si="30"/>
        <v/>
      </c>
      <c r="AP82" s="21" t="str">
        <f t="shared" si="31"/>
        <v/>
      </c>
      <c r="AQ82" s="23" t="str">
        <f t="shared" si="32"/>
        <v/>
      </c>
      <c r="AR82" s="23" t="str">
        <f t="shared" si="33"/>
        <v/>
      </c>
      <c r="AS82" s="21" t="str">
        <f>IF($B82="","",Setting!$B$7-(AI82+AJ82+AK82+AL82+AM82+AN82+AO82+AP82))</f>
        <v/>
      </c>
    </row>
    <row r="83" spans="1:45" x14ac:dyDescent="0.35">
      <c r="A83" s="18" t="str">
        <f t="shared" si="23"/>
        <v/>
      </c>
      <c r="B83" s="19" t="str">
        <f>IF(Employee_List!A81="","",Employee_List!A81)</f>
        <v/>
      </c>
      <c r="C83" s="19" t="str">
        <f>IF(B83="","",Employee_List!B81)</f>
        <v/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1" t="str">
        <f t="shared" si="24"/>
        <v/>
      </c>
      <c r="AJ83" s="21" t="str">
        <f t="shared" si="25"/>
        <v/>
      </c>
      <c r="AK83" s="22" t="str">
        <f t="shared" si="26"/>
        <v/>
      </c>
      <c r="AL83" s="21" t="str">
        <f t="shared" si="27"/>
        <v/>
      </c>
      <c r="AM83" s="21" t="str">
        <f t="shared" si="28"/>
        <v/>
      </c>
      <c r="AN83" s="21" t="str">
        <f t="shared" si="29"/>
        <v/>
      </c>
      <c r="AO83" s="21" t="str">
        <f t="shared" si="30"/>
        <v/>
      </c>
      <c r="AP83" s="21" t="str">
        <f t="shared" si="31"/>
        <v/>
      </c>
      <c r="AQ83" s="23" t="str">
        <f t="shared" si="32"/>
        <v/>
      </c>
      <c r="AR83" s="23" t="str">
        <f t="shared" si="33"/>
        <v/>
      </c>
      <c r="AS83" s="21" t="str">
        <f>IF($B83="","",Setting!$B$7-(AI83+AJ83+AK83+AL83+AM83+AN83+AO83+AP83))</f>
        <v/>
      </c>
    </row>
    <row r="84" spans="1:45" x14ac:dyDescent="0.35">
      <c r="A84" s="18" t="str">
        <f t="shared" si="23"/>
        <v/>
      </c>
      <c r="B84" s="19" t="str">
        <f>IF(Employee_List!A82="","",Employee_List!A82)</f>
        <v/>
      </c>
      <c r="C84" s="19" t="str">
        <f>IF(B84="","",Employee_List!B82)</f>
        <v/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 t="str">
        <f t="shared" si="24"/>
        <v/>
      </c>
      <c r="AJ84" s="21" t="str">
        <f t="shared" si="25"/>
        <v/>
      </c>
      <c r="AK84" s="22" t="str">
        <f t="shared" si="26"/>
        <v/>
      </c>
      <c r="AL84" s="21" t="str">
        <f t="shared" si="27"/>
        <v/>
      </c>
      <c r="AM84" s="21" t="str">
        <f t="shared" si="28"/>
        <v/>
      </c>
      <c r="AN84" s="21" t="str">
        <f t="shared" si="29"/>
        <v/>
      </c>
      <c r="AO84" s="21" t="str">
        <f t="shared" si="30"/>
        <v/>
      </c>
      <c r="AP84" s="21" t="str">
        <f t="shared" si="31"/>
        <v/>
      </c>
      <c r="AQ84" s="23" t="str">
        <f t="shared" si="32"/>
        <v/>
      </c>
      <c r="AR84" s="23" t="str">
        <f t="shared" si="33"/>
        <v/>
      </c>
      <c r="AS84" s="21" t="str">
        <f>IF($B84="","",Setting!$B$7-(AI84+AJ84+AK84+AL84+AM84+AN84+AO84+AP84))</f>
        <v/>
      </c>
    </row>
    <row r="85" spans="1:45" x14ac:dyDescent="0.35">
      <c r="A85" s="18" t="str">
        <f t="shared" si="23"/>
        <v/>
      </c>
      <c r="B85" s="19" t="str">
        <f>IF(Employee_List!A83="","",Employee_List!A83)</f>
        <v/>
      </c>
      <c r="C85" s="19" t="str">
        <f>IF(B85="","",Employee_List!B83)</f>
        <v/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1" t="str">
        <f t="shared" si="24"/>
        <v/>
      </c>
      <c r="AJ85" s="21" t="str">
        <f t="shared" si="25"/>
        <v/>
      </c>
      <c r="AK85" s="22" t="str">
        <f t="shared" si="26"/>
        <v/>
      </c>
      <c r="AL85" s="21" t="str">
        <f t="shared" si="27"/>
        <v/>
      </c>
      <c r="AM85" s="21" t="str">
        <f t="shared" si="28"/>
        <v/>
      </c>
      <c r="AN85" s="21" t="str">
        <f t="shared" si="29"/>
        <v/>
      </c>
      <c r="AO85" s="21" t="str">
        <f t="shared" si="30"/>
        <v/>
      </c>
      <c r="AP85" s="21" t="str">
        <f t="shared" si="31"/>
        <v/>
      </c>
      <c r="AQ85" s="23" t="str">
        <f t="shared" si="32"/>
        <v/>
      </c>
      <c r="AR85" s="23" t="str">
        <f t="shared" si="33"/>
        <v/>
      </c>
      <c r="AS85" s="21" t="str">
        <f>IF($B85="","",Setting!$B$7-(AI85+AJ85+AK85+AL85+AM85+AN85+AO85+AP85))</f>
        <v/>
      </c>
    </row>
    <row r="86" spans="1:45" x14ac:dyDescent="0.35">
      <c r="A86" s="18" t="str">
        <f t="shared" si="23"/>
        <v/>
      </c>
      <c r="B86" s="19" t="str">
        <f>IF(Employee_List!A84="","",Employee_List!A84)</f>
        <v/>
      </c>
      <c r="C86" s="19" t="str">
        <f>IF(B86="","",Employee_List!B84)</f>
        <v/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1" t="str">
        <f t="shared" si="24"/>
        <v/>
      </c>
      <c r="AJ86" s="21" t="str">
        <f t="shared" si="25"/>
        <v/>
      </c>
      <c r="AK86" s="22" t="str">
        <f t="shared" si="26"/>
        <v/>
      </c>
      <c r="AL86" s="21" t="str">
        <f t="shared" si="27"/>
        <v/>
      </c>
      <c r="AM86" s="21" t="str">
        <f t="shared" si="28"/>
        <v/>
      </c>
      <c r="AN86" s="21" t="str">
        <f t="shared" si="29"/>
        <v/>
      </c>
      <c r="AO86" s="21" t="str">
        <f t="shared" si="30"/>
        <v/>
      </c>
      <c r="AP86" s="21" t="str">
        <f t="shared" si="31"/>
        <v/>
      </c>
      <c r="AQ86" s="23" t="str">
        <f t="shared" si="32"/>
        <v/>
      </c>
      <c r="AR86" s="23" t="str">
        <f t="shared" si="33"/>
        <v/>
      </c>
      <c r="AS86" s="21" t="str">
        <f>IF($B86="","",Setting!$B$7-(AI86+AJ86+AK86+AL86+AM86+AN86+AO86+AP86))</f>
        <v/>
      </c>
    </row>
    <row r="87" spans="1:45" x14ac:dyDescent="0.35">
      <c r="A87" s="18" t="str">
        <f t="shared" si="23"/>
        <v/>
      </c>
      <c r="B87" s="19" t="str">
        <f>IF(Employee_List!A85="","",Employee_List!A85)</f>
        <v/>
      </c>
      <c r="C87" s="19" t="str">
        <f>IF(B87="","",Employee_List!B85)</f>
        <v/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1" t="str">
        <f t="shared" si="24"/>
        <v/>
      </c>
      <c r="AJ87" s="21" t="str">
        <f t="shared" si="25"/>
        <v/>
      </c>
      <c r="AK87" s="22" t="str">
        <f t="shared" si="26"/>
        <v/>
      </c>
      <c r="AL87" s="21" t="str">
        <f t="shared" si="27"/>
        <v/>
      </c>
      <c r="AM87" s="21" t="str">
        <f t="shared" si="28"/>
        <v/>
      </c>
      <c r="AN87" s="21" t="str">
        <f t="shared" si="29"/>
        <v/>
      </c>
      <c r="AO87" s="21" t="str">
        <f t="shared" si="30"/>
        <v/>
      </c>
      <c r="AP87" s="21" t="str">
        <f t="shared" si="31"/>
        <v/>
      </c>
      <c r="AQ87" s="23" t="str">
        <f t="shared" si="32"/>
        <v/>
      </c>
      <c r="AR87" s="23" t="str">
        <f t="shared" si="33"/>
        <v/>
      </c>
      <c r="AS87" s="21" t="str">
        <f>IF($B87="","",Setting!$B$7-(AI87+AJ87+AK87+AL87+AM87+AN87+AO87+AP87))</f>
        <v/>
      </c>
    </row>
    <row r="88" spans="1:45" x14ac:dyDescent="0.35">
      <c r="A88" s="18" t="str">
        <f t="shared" si="23"/>
        <v/>
      </c>
      <c r="B88" s="19" t="str">
        <f>IF(Employee_List!A86="","",Employee_List!A86)</f>
        <v/>
      </c>
      <c r="C88" s="19" t="str">
        <f>IF(B88="","",Employee_List!B86)</f>
        <v/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 t="str">
        <f t="shared" si="24"/>
        <v/>
      </c>
      <c r="AJ88" s="21" t="str">
        <f t="shared" si="25"/>
        <v/>
      </c>
      <c r="AK88" s="22" t="str">
        <f t="shared" si="26"/>
        <v/>
      </c>
      <c r="AL88" s="21" t="str">
        <f t="shared" si="27"/>
        <v/>
      </c>
      <c r="AM88" s="21" t="str">
        <f t="shared" si="28"/>
        <v/>
      </c>
      <c r="AN88" s="21" t="str">
        <f t="shared" si="29"/>
        <v/>
      </c>
      <c r="AO88" s="21" t="str">
        <f t="shared" si="30"/>
        <v/>
      </c>
      <c r="AP88" s="21" t="str">
        <f t="shared" si="31"/>
        <v/>
      </c>
      <c r="AQ88" s="23" t="str">
        <f t="shared" si="32"/>
        <v/>
      </c>
      <c r="AR88" s="23" t="str">
        <f t="shared" si="33"/>
        <v/>
      </c>
      <c r="AS88" s="21" t="str">
        <f>IF($B88="","",Setting!$B$7-(AI88+AJ88+AK88+AL88+AM88+AN88+AO88+AP88))</f>
        <v/>
      </c>
    </row>
    <row r="89" spans="1:45" x14ac:dyDescent="0.35">
      <c r="A89" s="18" t="str">
        <f t="shared" si="23"/>
        <v/>
      </c>
      <c r="B89" s="19" t="str">
        <f>IF(Employee_List!A87="","",Employee_List!A87)</f>
        <v/>
      </c>
      <c r="C89" s="19" t="str">
        <f>IF(B89="","",Employee_List!B87)</f>
        <v/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1" t="str">
        <f t="shared" si="24"/>
        <v/>
      </c>
      <c r="AJ89" s="21" t="str">
        <f t="shared" si="25"/>
        <v/>
      </c>
      <c r="AK89" s="22" t="str">
        <f t="shared" si="26"/>
        <v/>
      </c>
      <c r="AL89" s="21" t="str">
        <f t="shared" si="27"/>
        <v/>
      </c>
      <c r="AM89" s="21" t="str">
        <f t="shared" si="28"/>
        <v/>
      </c>
      <c r="AN89" s="21" t="str">
        <f t="shared" si="29"/>
        <v/>
      </c>
      <c r="AO89" s="21" t="str">
        <f t="shared" si="30"/>
        <v/>
      </c>
      <c r="AP89" s="21" t="str">
        <f t="shared" si="31"/>
        <v/>
      </c>
      <c r="AQ89" s="23" t="str">
        <f t="shared" si="32"/>
        <v/>
      </c>
      <c r="AR89" s="23" t="str">
        <f t="shared" si="33"/>
        <v/>
      </c>
      <c r="AS89" s="21" t="str">
        <f>IF($B89="","",Setting!$B$7-(AI89+AJ89+AK89+AL89+AM89+AN89+AO89+AP89))</f>
        <v/>
      </c>
    </row>
    <row r="90" spans="1:45" x14ac:dyDescent="0.35">
      <c r="A90" s="18" t="str">
        <f t="shared" si="23"/>
        <v/>
      </c>
      <c r="B90" s="19" t="str">
        <f>IF(Employee_List!A88="","",Employee_List!A88)</f>
        <v/>
      </c>
      <c r="C90" s="19" t="str">
        <f>IF(B90="","",Employee_List!B88)</f>
        <v/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1" t="str">
        <f t="shared" si="24"/>
        <v/>
      </c>
      <c r="AJ90" s="21" t="str">
        <f t="shared" si="25"/>
        <v/>
      </c>
      <c r="AK90" s="22" t="str">
        <f t="shared" si="26"/>
        <v/>
      </c>
      <c r="AL90" s="21" t="str">
        <f t="shared" si="27"/>
        <v/>
      </c>
      <c r="AM90" s="21" t="str">
        <f t="shared" si="28"/>
        <v/>
      </c>
      <c r="AN90" s="21" t="str">
        <f t="shared" si="29"/>
        <v/>
      </c>
      <c r="AO90" s="21" t="str">
        <f t="shared" si="30"/>
        <v/>
      </c>
      <c r="AP90" s="21" t="str">
        <f t="shared" si="31"/>
        <v/>
      </c>
      <c r="AQ90" s="23" t="str">
        <f t="shared" si="32"/>
        <v/>
      </c>
      <c r="AR90" s="23" t="str">
        <f t="shared" si="33"/>
        <v/>
      </c>
      <c r="AS90" s="21" t="str">
        <f>IF($B90="","",Setting!$B$7-(AI90+AJ90+AK90+AL90+AM90+AN90+AO90+AP90))</f>
        <v/>
      </c>
    </row>
    <row r="91" spans="1:45" x14ac:dyDescent="0.35">
      <c r="A91" s="18" t="str">
        <f t="shared" si="23"/>
        <v/>
      </c>
      <c r="B91" s="19" t="str">
        <f>IF(Employee_List!A89="","",Employee_List!A89)</f>
        <v/>
      </c>
      <c r="C91" s="19" t="str">
        <f>IF(B91="","",Employee_List!B89)</f>
        <v/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1" t="str">
        <f t="shared" si="24"/>
        <v/>
      </c>
      <c r="AJ91" s="21" t="str">
        <f t="shared" si="25"/>
        <v/>
      </c>
      <c r="AK91" s="22" t="str">
        <f t="shared" si="26"/>
        <v/>
      </c>
      <c r="AL91" s="21" t="str">
        <f t="shared" si="27"/>
        <v/>
      </c>
      <c r="AM91" s="21" t="str">
        <f t="shared" si="28"/>
        <v/>
      </c>
      <c r="AN91" s="21" t="str">
        <f t="shared" si="29"/>
        <v/>
      </c>
      <c r="AO91" s="21" t="str">
        <f t="shared" si="30"/>
        <v/>
      </c>
      <c r="AP91" s="21" t="str">
        <f t="shared" si="31"/>
        <v/>
      </c>
      <c r="AQ91" s="23" t="str">
        <f t="shared" si="32"/>
        <v/>
      </c>
      <c r="AR91" s="23" t="str">
        <f t="shared" si="33"/>
        <v/>
      </c>
      <c r="AS91" s="21" t="str">
        <f>IF($B91="","",Setting!$B$7-(AI91+AJ91+AK91+AL91+AM91+AN91+AO91+AP91))</f>
        <v/>
      </c>
    </row>
    <row r="92" spans="1:45" x14ac:dyDescent="0.35">
      <c r="A92" s="18" t="str">
        <f t="shared" si="23"/>
        <v/>
      </c>
      <c r="B92" s="19" t="str">
        <f>IF(Employee_List!A90="","",Employee_List!A90)</f>
        <v/>
      </c>
      <c r="C92" s="19" t="str">
        <f>IF(B92="","",Employee_List!B90)</f>
        <v/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1" t="str">
        <f t="shared" si="24"/>
        <v/>
      </c>
      <c r="AJ92" s="21" t="str">
        <f t="shared" si="25"/>
        <v/>
      </c>
      <c r="AK92" s="22" t="str">
        <f t="shared" si="26"/>
        <v/>
      </c>
      <c r="AL92" s="21" t="str">
        <f t="shared" si="27"/>
        <v/>
      </c>
      <c r="AM92" s="21" t="str">
        <f t="shared" si="28"/>
        <v/>
      </c>
      <c r="AN92" s="21" t="str">
        <f t="shared" si="29"/>
        <v/>
      </c>
      <c r="AO92" s="21" t="str">
        <f t="shared" si="30"/>
        <v/>
      </c>
      <c r="AP92" s="21" t="str">
        <f t="shared" si="31"/>
        <v/>
      </c>
      <c r="AQ92" s="23" t="str">
        <f t="shared" si="32"/>
        <v/>
      </c>
      <c r="AR92" s="23" t="str">
        <f t="shared" si="33"/>
        <v/>
      </c>
      <c r="AS92" s="21" t="str">
        <f>IF($B92="","",Setting!$B$7-(AI92+AJ92+AK92+AL92+AM92+AN92+AO92+AP92))</f>
        <v/>
      </c>
    </row>
    <row r="93" spans="1:45" x14ac:dyDescent="0.35">
      <c r="A93" s="18" t="str">
        <f t="shared" si="23"/>
        <v/>
      </c>
      <c r="B93" s="19" t="str">
        <f>IF(Employee_List!A91="","",Employee_List!A91)</f>
        <v/>
      </c>
      <c r="C93" s="19" t="str">
        <f>IF(B93="","",Employee_List!B91)</f>
        <v/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1" t="str">
        <f t="shared" si="24"/>
        <v/>
      </c>
      <c r="AJ93" s="21" t="str">
        <f t="shared" si="25"/>
        <v/>
      </c>
      <c r="AK93" s="22" t="str">
        <f t="shared" si="26"/>
        <v/>
      </c>
      <c r="AL93" s="21" t="str">
        <f t="shared" si="27"/>
        <v/>
      </c>
      <c r="AM93" s="21" t="str">
        <f t="shared" si="28"/>
        <v/>
      </c>
      <c r="AN93" s="21" t="str">
        <f t="shared" si="29"/>
        <v/>
      </c>
      <c r="AO93" s="21" t="str">
        <f t="shared" si="30"/>
        <v/>
      </c>
      <c r="AP93" s="21" t="str">
        <f t="shared" si="31"/>
        <v/>
      </c>
      <c r="AQ93" s="23" t="str">
        <f t="shared" si="32"/>
        <v/>
      </c>
      <c r="AR93" s="23" t="str">
        <f t="shared" si="33"/>
        <v/>
      </c>
      <c r="AS93" s="21" t="str">
        <f>IF($B93="","",Setting!$B$7-(AI93+AJ93+AK93+AL93+AM93+AN93+AO93+AP93))</f>
        <v/>
      </c>
    </row>
    <row r="94" spans="1:45" x14ac:dyDescent="0.35">
      <c r="A94" s="18" t="str">
        <f t="shared" si="23"/>
        <v/>
      </c>
      <c r="B94" s="19" t="str">
        <f>IF(Employee_List!A92="","",Employee_List!A92)</f>
        <v/>
      </c>
      <c r="C94" s="19" t="str">
        <f>IF(B94="","",Employee_List!B92)</f>
        <v/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 t="str">
        <f t="shared" si="24"/>
        <v/>
      </c>
      <c r="AJ94" s="21" t="str">
        <f t="shared" si="25"/>
        <v/>
      </c>
      <c r="AK94" s="22" t="str">
        <f t="shared" si="26"/>
        <v/>
      </c>
      <c r="AL94" s="21" t="str">
        <f t="shared" si="27"/>
        <v/>
      </c>
      <c r="AM94" s="21" t="str">
        <f t="shared" si="28"/>
        <v/>
      </c>
      <c r="AN94" s="21" t="str">
        <f t="shared" si="29"/>
        <v/>
      </c>
      <c r="AO94" s="21" t="str">
        <f t="shared" si="30"/>
        <v/>
      </c>
      <c r="AP94" s="21" t="str">
        <f t="shared" si="31"/>
        <v/>
      </c>
      <c r="AQ94" s="23" t="str">
        <f t="shared" si="32"/>
        <v/>
      </c>
      <c r="AR94" s="23" t="str">
        <f t="shared" si="33"/>
        <v/>
      </c>
      <c r="AS94" s="21" t="str">
        <f>IF($B94="","",Setting!$B$7-(AI94+AJ94+AK94+AL94+AM94+AN94+AO94+AP94))</f>
        <v/>
      </c>
    </row>
    <row r="95" spans="1:45" x14ac:dyDescent="0.35">
      <c r="A95" s="18" t="str">
        <f t="shared" si="23"/>
        <v/>
      </c>
      <c r="B95" s="19" t="str">
        <f>IF(Employee_List!A93="","",Employee_List!A93)</f>
        <v/>
      </c>
      <c r="C95" s="19" t="str">
        <f>IF(B95="","",Employee_List!B93)</f>
        <v/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1" t="str">
        <f t="shared" si="24"/>
        <v/>
      </c>
      <c r="AJ95" s="21" t="str">
        <f t="shared" si="25"/>
        <v/>
      </c>
      <c r="AK95" s="22" t="str">
        <f t="shared" si="26"/>
        <v/>
      </c>
      <c r="AL95" s="21" t="str">
        <f t="shared" si="27"/>
        <v/>
      </c>
      <c r="AM95" s="21" t="str">
        <f t="shared" si="28"/>
        <v/>
      </c>
      <c r="AN95" s="21" t="str">
        <f t="shared" si="29"/>
        <v/>
      </c>
      <c r="AO95" s="21" t="str">
        <f t="shared" si="30"/>
        <v/>
      </c>
      <c r="AP95" s="21" t="str">
        <f t="shared" si="31"/>
        <v/>
      </c>
      <c r="AQ95" s="23" t="str">
        <f t="shared" si="32"/>
        <v/>
      </c>
      <c r="AR95" s="23" t="str">
        <f t="shared" si="33"/>
        <v/>
      </c>
      <c r="AS95" s="21" t="str">
        <f>IF($B95="","",Setting!$B$7-(AI95+AJ95+AK95+AL95+AM95+AN95+AO95+AP95))</f>
        <v/>
      </c>
    </row>
    <row r="96" spans="1:45" x14ac:dyDescent="0.35">
      <c r="A96" s="18" t="str">
        <f t="shared" si="23"/>
        <v/>
      </c>
      <c r="B96" s="19" t="str">
        <f>IF(Employee_List!A94="","",Employee_List!A94)</f>
        <v/>
      </c>
      <c r="C96" s="19" t="str">
        <f>IF(B96="","",Employee_List!B94)</f>
        <v/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1" t="str">
        <f t="shared" si="24"/>
        <v/>
      </c>
      <c r="AJ96" s="21" t="str">
        <f t="shared" si="25"/>
        <v/>
      </c>
      <c r="AK96" s="22" t="str">
        <f t="shared" si="26"/>
        <v/>
      </c>
      <c r="AL96" s="21" t="str">
        <f t="shared" si="27"/>
        <v/>
      </c>
      <c r="AM96" s="21" t="str">
        <f t="shared" si="28"/>
        <v/>
      </c>
      <c r="AN96" s="21" t="str">
        <f t="shared" si="29"/>
        <v/>
      </c>
      <c r="AO96" s="21" t="str">
        <f t="shared" si="30"/>
        <v/>
      </c>
      <c r="AP96" s="21" t="str">
        <f t="shared" si="31"/>
        <v/>
      </c>
      <c r="AQ96" s="23" t="str">
        <f t="shared" si="32"/>
        <v/>
      </c>
      <c r="AR96" s="23" t="str">
        <f t="shared" si="33"/>
        <v/>
      </c>
      <c r="AS96" s="21" t="str">
        <f>IF($B96="","",Setting!$B$7-(AI96+AJ96+AK96+AL96+AM96+AN96+AO96+AP96))</f>
        <v/>
      </c>
    </row>
    <row r="97" spans="1:45" x14ac:dyDescent="0.35">
      <c r="A97" s="18" t="str">
        <f t="shared" si="23"/>
        <v/>
      </c>
      <c r="B97" s="19" t="str">
        <f>IF(Employee_List!A95="","",Employee_List!A95)</f>
        <v/>
      </c>
      <c r="C97" s="19" t="str">
        <f>IF(B97="","",Employee_List!B95)</f>
        <v/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1" t="str">
        <f t="shared" si="24"/>
        <v/>
      </c>
      <c r="AJ97" s="21" t="str">
        <f t="shared" si="25"/>
        <v/>
      </c>
      <c r="AK97" s="22" t="str">
        <f t="shared" si="26"/>
        <v/>
      </c>
      <c r="AL97" s="21" t="str">
        <f t="shared" si="27"/>
        <v/>
      </c>
      <c r="AM97" s="21" t="str">
        <f t="shared" si="28"/>
        <v/>
      </c>
      <c r="AN97" s="21" t="str">
        <f t="shared" si="29"/>
        <v/>
      </c>
      <c r="AO97" s="21" t="str">
        <f t="shared" si="30"/>
        <v/>
      </c>
      <c r="AP97" s="21" t="str">
        <f t="shared" si="31"/>
        <v/>
      </c>
      <c r="AQ97" s="23" t="str">
        <f t="shared" si="32"/>
        <v/>
      </c>
      <c r="AR97" s="23" t="str">
        <f t="shared" si="33"/>
        <v/>
      </c>
      <c r="AS97" s="21" t="str">
        <f>IF($B97="","",Setting!$B$7-(AI97+AJ97+AK97+AL97+AM97+AN97+AO97+AP97))</f>
        <v/>
      </c>
    </row>
    <row r="98" spans="1:45" x14ac:dyDescent="0.35">
      <c r="A98" s="18" t="str">
        <f t="shared" si="23"/>
        <v/>
      </c>
      <c r="B98" s="19" t="str">
        <f>IF(Employee_List!A96="","",Employee_List!A96)</f>
        <v/>
      </c>
      <c r="C98" s="19" t="str">
        <f>IF(B98="","",Employee_List!B96)</f>
        <v/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1" t="str">
        <f t="shared" si="24"/>
        <v/>
      </c>
      <c r="AJ98" s="21" t="str">
        <f t="shared" si="25"/>
        <v/>
      </c>
      <c r="AK98" s="22" t="str">
        <f t="shared" si="26"/>
        <v/>
      </c>
      <c r="AL98" s="21" t="str">
        <f t="shared" si="27"/>
        <v/>
      </c>
      <c r="AM98" s="21" t="str">
        <f t="shared" si="28"/>
        <v/>
      </c>
      <c r="AN98" s="21" t="str">
        <f t="shared" si="29"/>
        <v/>
      </c>
      <c r="AO98" s="21" t="str">
        <f t="shared" si="30"/>
        <v/>
      </c>
      <c r="AP98" s="21" t="str">
        <f t="shared" si="31"/>
        <v/>
      </c>
      <c r="AQ98" s="23" t="str">
        <f t="shared" si="32"/>
        <v/>
      </c>
      <c r="AR98" s="23" t="str">
        <f t="shared" si="33"/>
        <v/>
      </c>
      <c r="AS98" s="21" t="str">
        <f>IF($B98="","",Setting!$B$7-(AI98+AJ98+AK98+AL98+AM98+AN98+AO98+AP98))</f>
        <v/>
      </c>
    </row>
    <row r="99" spans="1:45" x14ac:dyDescent="0.35">
      <c r="A99" s="18" t="str">
        <f t="shared" si="23"/>
        <v/>
      </c>
      <c r="B99" s="19" t="str">
        <f>IF(Employee_List!A97="","",Employee_List!A97)</f>
        <v/>
      </c>
      <c r="C99" s="19" t="str">
        <f>IF(B99="","",Employee_List!B97)</f>
        <v/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1" t="str">
        <f t="shared" si="24"/>
        <v/>
      </c>
      <c r="AJ99" s="21" t="str">
        <f t="shared" si="25"/>
        <v/>
      </c>
      <c r="AK99" s="22" t="str">
        <f t="shared" si="26"/>
        <v/>
      </c>
      <c r="AL99" s="21" t="str">
        <f t="shared" si="27"/>
        <v/>
      </c>
      <c r="AM99" s="21" t="str">
        <f t="shared" si="28"/>
        <v/>
      </c>
      <c r="AN99" s="21" t="str">
        <f t="shared" si="29"/>
        <v/>
      </c>
      <c r="AO99" s="21" t="str">
        <f t="shared" si="30"/>
        <v/>
      </c>
      <c r="AP99" s="21" t="str">
        <f t="shared" si="31"/>
        <v/>
      </c>
      <c r="AQ99" s="23" t="str">
        <f t="shared" si="32"/>
        <v/>
      </c>
      <c r="AR99" s="23" t="str">
        <f t="shared" si="33"/>
        <v/>
      </c>
      <c r="AS99" s="21" t="str">
        <f>IF($B99="","",Setting!$B$7-(AI99+AJ99+AK99+AL99+AM99+AN99+AO99+AP99))</f>
        <v/>
      </c>
    </row>
    <row r="100" spans="1:45" x14ac:dyDescent="0.35">
      <c r="A100" s="18" t="str">
        <f t="shared" si="23"/>
        <v/>
      </c>
      <c r="B100" s="19" t="str">
        <f>IF(Employee_List!A98="","",Employee_List!A98)</f>
        <v/>
      </c>
      <c r="C100" s="19" t="str">
        <f>IF(B100="","",Employee_List!B98)</f>
        <v/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1" t="str">
        <f t="shared" si="24"/>
        <v/>
      </c>
      <c r="AJ100" s="21" t="str">
        <f t="shared" si="25"/>
        <v/>
      </c>
      <c r="AK100" s="22" t="str">
        <f t="shared" si="26"/>
        <v/>
      </c>
      <c r="AL100" s="21" t="str">
        <f t="shared" si="27"/>
        <v/>
      </c>
      <c r="AM100" s="21" t="str">
        <f t="shared" si="28"/>
        <v/>
      </c>
      <c r="AN100" s="21" t="str">
        <f t="shared" si="29"/>
        <v/>
      </c>
      <c r="AO100" s="21" t="str">
        <f t="shared" si="30"/>
        <v/>
      </c>
      <c r="AP100" s="21" t="str">
        <f t="shared" si="31"/>
        <v/>
      </c>
      <c r="AQ100" s="23" t="str">
        <f t="shared" si="32"/>
        <v/>
      </c>
      <c r="AR100" s="23" t="str">
        <f t="shared" si="33"/>
        <v/>
      </c>
      <c r="AS100" s="21" t="str">
        <f>IF($B100="","",Setting!$B$7-(AI100+AJ100+AK100+AL100+AM100+AN100+AO100+AP100))</f>
        <v/>
      </c>
    </row>
    <row r="101" spans="1:45" x14ac:dyDescent="0.35">
      <c r="A101" s="18" t="str">
        <f t="shared" si="23"/>
        <v/>
      </c>
      <c r="B101" s="19" t="str">
        <f>IF(Employee_List!A99="","",Employee_List!A99)</f>
        <v/>
      </c>
      <c r="C101" s="19" t="str">
        <f>IF(B101="","",Employee_List!B99)</f>
        <v/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1" t="str">
        <f t="shared" si="24"/>
        <v/>
      </c>
      <c r="AJ101" s="21" t="str">
        <f t="shared" si="25"/>
        <v/>
      </c>
      <c r="AK101" s="22" t="str">
        <f t="shared" si="26"/>
        <v/>
      </c>
      <c r="AL101" s="21" t="str">
        <f t="shared" si="27"/>
        <v/>
      </c>
      <c r="AM101" s="21" t="str">
        <f t="shared" si="28"/>
        <v/>
      </c>
      <c r="AN101" s="21" t="str">
        <f t="shared" si="29"/>
        <v/>
      </c>
      <c r="AO101" s="21" t="str">
        <f t="shared" si="30"/>
        <v/>
      </c>
      <c r="AP101" s="21" t="str">
        <f t="shared" si="31"/>
        <v/>
      </c>
      <c r="AQ101" s="23" t="str">
        <f t="shared" si="32"/>
        <v/>
      </c>
      <c r="AR101" s="23" t="str">
        <f t="shared" si="33"/>
        <v/>
      </c>
      <c r="AS101" s="21" t="str">
        <f>IF($B101="","",Setting!$B$7-(AI101+AJ101+AK101+AL101+AM101+AN101+AO101+AP101))</f>
        <v/>
      </c>
    </row>
    <row r="102" spans="1:45" x14ac:dyDescent="0.35">
      <c r="A102" s="18" t="str">
        <f t="shared" si="23"/>
        <v/>
      </c>
      <c r="B102" s="19" t="str">
        <f>IF(Employee_List!A100="","",Employee_List!A100)</f>
        <v/>
      </c>
      <c r="C102" s="19" t="str">
        <f>IF(B102="","",Employee_List!B100)</f>
        <v/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1" t="str">
        <f t="shared" si="24"/>
        <v/>
      </c>
      <c r="AJ102" s="21" t="str">
        <f t="shared" si="25"/>
        <v/>
      </c>
      <c r="AK102" s="22" t="str">
        <f t="shared" si="26"/>
        <v/>
      </c>
      <c r="AL102" s="21" t="str">
        <f t="shared" si="27"/>
        <v/>
      </c>
      <c r="AM102" s="21" t="str">
        <f t="shared" si="28"/>
        <v/>
      </c>
      <c r="AN102" s="21" t="str">
        <f t="shared" si="29"/>
        <v/>
      </c>
      <c r="AO102" s="21" t="str">
        <f t="shared" si="30"/>
        <v/>
      </c>
      <c r="AP102" s="21" t="str">
        <f t="shared" si="31"/>
        <v/>
      </c>
      <c r="AQ102" s="23" t="str">
        <f t="shared" si="32"/>
        <v/>
      </c>
      <c r="AR102" s="23" t="str">
        <f t="shared" si="33"/>
        <v/>
      </c>
      <c r="AS102" s="21" t="str">
        <f>IF($B102="","",Setting!$B$7-(AI102+AJ102+AK102+AL102+AM102+AN102+AO102+AP102))</f>
        <v/>
      </c>
    </row>
    <row r="103" spans="1:45" x14ac:dyDescent="0.35">
      <c r="A103" s="18" t="str">
        <f t="shared" ref="A103:A134" si="34">IF(B103="","",ROW()-6)</f>
        <v/>
      </c>
      <c r="B103" s="19" t="str">
        <f>IF(Employee_List!A101="","",Employee_List!A101)</f>
        <v/>
      </c>
      <c r="C103" s="19" t="str">
        <f>IF(B103="","",Employee_List!B101)</f>
        <v/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1" t="str">
        <f t="shared" si="24"/>
        <v/>
      </c>
      <c r="AJ103" s="21" t="str">
        <f t="shared" si="25"/>
        <v/>
      </c>
      <c r="AK103" s="22" t="str">
        <f t="shared" si="26"/>
        <v/>
      </c>
      <c r="AL103" s="21" t="str">
        <f t="shared" si="27"/>
        <v/>
      </c>
      <c r="AM103" s="21" t="str">
        <f t="shared" si="28"/>
        <v/>
      </c>
      <c r="AN103" s="21" t="str">
        <f t="shared" si="29"/>
        <v/>
      </c>
      <c r="AO103" s="21" t="str">
        <f t="shared" si="30"/>
        <v/>
      </c>
      <c r="AP103" s="21" t="str">
        <f t="shared" si="31"/>
        <v/>
      </c>
      <c r="AQ103" s="23" t="str">
        <f t="shared" ref="AQ103:AQ134" si="35">IF($B103="","",AI103+0.5*AK103+AL103+AM103+AN103+AO103+AP103)</f>
        <v/>
      </c>
      <c r="AR103" s="23" t="str">
        <f t="shared" si="33"/>
        <v/>
      </c>
      <c r="AS103" s="21" t="str">
        <f>IF($B103="","",Setting!$B$7-(AI103+AJ103+AK103+AL103+AM103+AN103+AO103+AP103))</f>
        <v/>
      </c>
    </row>
    <row r="104" spans="1:45" x14ac:dyDescent="0.35">
      <c r="A104" s="18" t="str">
        <f t="shared" si="34"/>
        <v/>
      </c>
      <c r="B104" s="19" t="str">
        <f>IF(Employee_List!A102="","",Employee_List!A102)</f>
        <v/>
      </c>
      <c r="C104" s="19" t="str">
        <f>IF(B104="","",Employee_List!B102)</f>
        <v/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1" t="str">
        <f t="shared" si="24"/>
        <v/>
      </c>
      <c r="AJ104" s="21" t="str">
        <f t="shared" si="25"/>
        <v/>
      </c>
      <c r="AK104" s="22" t="str">
        <f t="shared" si="26"/>
        <v/>
      </c>
      <c r="AL104" s="21" t="str">
        <f t="shared" si="27"/>
        <v/>
      </c>
      <c r="AM104" s="21" t="str">
        <f t="shared" si="28"/>
        <v/>
      </c>
      <c r="AN104" s="21" t="str">
        <f t="shared" si="29"/>
        <v/>
      </c>
      <c r="AO104" s="21" t="str">
        <f t="shared" si="30"/>
        <v/>
      </c>
      <c r="AP104" s="21" t="str">
        <f t="shared" si="31"/>
        <v/>
      </c>
      <c r="AQ104" s="23" t="str">
        <f t="shared" si="35"/>
        <v/>
      </c>
      <c r="AR104" s="23" t="str">
        <f t="shared" si="33"/>
        <v/>
      </c>
      <c r="AS104" s="21" t="str">
        <f>IF($B104="","",Setting!$B$7-(AI104+AJ104+AK104+AL104+AM104+AN104+AO104+AP104))</f>
        <v/>
      </c>
    </row>
    <row r="105" spans="1:45" x14ac:dyDescent="0.35">
      <c r="A105" s="18" t="str">
        <f t="shared" si="34"/>
        <v/>
      </c>
      <c r="B105" s="19" t="str">
        <f>IF(Employee_List!A103="","",Employee_List!A103)</f>
        <v/>
      </c>
      <c r="C105" s="19" t="str">
        <f>IF(B105="","",Employee_List!B103)</f>
        <v/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 t="str">
        <f t="shared" si="24"/>
        <v/>
      </c>
      <c r="AJ105" s="21" t="str">
        <f t="shared" si="25"/>
        <v/>
      </c>
      <c r="AK105" s="22" t="str">
        <f t="shared" si="26"/>
        <v/>
      </c>
      <c r="AL105" s="21" t="str">
        <f t="shared" si="27"/>
        <v/>
      </c>
      <c r="AM105" s="21" t="str">
        <f t="shared" si="28"/>
        <v/>
      </c>
      <c r="AN105" s="21" t="str">
        <f t="shared" si="29"/>
        <v/>
      </c>
      <c r="AO105" s="21" t="str">
        <f t="shared" si="30"/>
        <v/>
      </c>
      <c r="AP105" s="21" t="str">
        <f t="shared" si="31"/>
        <v/>
      </c>
      <c r="AQ105" s="23" t="str">
        <f t="shared" si="35"/>
        <v/>
      </c>
      <c r="AR105" s="23" t="str">
        <f t="shared" si="33"/>
        <v/>
      </c>
      <c r="AS105" s="21" t="str">
        <f>IF($B105="","",Setting!$B$7-(AI105+AJ105+AK105+AL105+AM105+AN105+AO105+AP105))</f>
        <v/>
      </c>
    </row>
    <row r="106" spans="1:45" x14ac:dyDescent="0.35">
      <c r="A106" s="18" t="str">
        <f t="shared" si="34"/>
        <v/>
      </c>
      <c r="B106" s="19" t="str">
        <f>IF(Employee_List!A104="","",Employee_List!A104)</f>
        <v/>
      </c>
      <c r="C106" s="19" t="str">
        <f>IF(B106="","",Employee_List!B104)</f>
        <v/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1" t="str">
        <f t="shared" si="24"/>
        <v/>
      </c>
      <c r="AJ106" s="21" t="str">
        <f t="shared" si="25"/>
        <v/>
      </c>
      <c r="AK106" s="22" t="str">
        <f t="shared" si="26"/>
        <v/>
      </c>
      <c r="AL106" s="21" t="str">
        <f t="shared" si="27"/>
        <v/>
      </c>
      <c r="AM106" s="21" t="str">
        <f t="shared" si="28"/>
        <v/>
      </c>
      <c r="AN106" s="21" t="str">
        <f t="shared" si="29"/>
        <v/>
      </c>
      <c r="AO106" s="21" t="str">
        <f t="shared" si="30"/>
        <v/>
      </c>
      <c r="AP106" s="21" t="str">
        <f t="shared" si="31"/>
        <v/>
      </c>
      <c r="AQ106" s="23" t="str">
        <f t="shared" si="35"/>
        <v/>
      </c>
      <c r="AR106" s="23" t="str">
        <f t="shared" si="33"/>
        <v/>
      </c>
      <c r="AS106" s="21" t="str">
        <f>IF($B106="","",Setting!$B$7-(AI106+AJ106+AK106+AL106+AM106+AN106+AO106+AP106))</f>
        <v/>
      </c>
    </row>
    <row r="107" spans="1:45" x14ac:dyDescent="0.35">
      <c r="C107" s="3" t="s">
        <v>59</v>
      </c>
      <c r="D107" s="24">
        <f t="shared" ref="D107:AH107" si="36">IF(D$4="","",COUNTIF(D7:D106,"P")+0.5*COUNTIF(D7:D106,"HD"))</f>
        <v>0</v>
      </c>
      <c r="E107" s="24">
        <f t="shared" si="36"/>
        <v>0</v>
      </c>
      <c r="F107" s="24">
        <f t="shared" si="36"/>
        <v>0</v>
      </c>
      <c r="G107" s="24">
        <f t="shared" si="36"/>
        <v>0</v>
      </c>
      <c r="H107" s="24">
        <f t="shared" si="36"/>
        <v>0</v>
      </c>
      <c r="I107" s="24">
        <f t="shared" si="36"/>
        <v>0</v>
      </c>
      <c r="J107" s="24">
        <f t="shared" si="36"/>
        <v>0</v>
      </c>
      <c r="K107" s="24">
        <f t="shared" si="36"/>
        <v>0</v>
      </c>
      <c r="L107" s="24">
        <f t="shared" si="36"/>
        <v>0</v>
      </c>
      <c r="M107" s="24">
        <f t="shared" si="36"/>
        <v>0</v>
      </c>
      <c r="N107" s="24">
        <f t="shared" si="36"/>
        <v>0</v>
      </c>
      <c r="O107" s="24">
        <f t="shared" si="36"/>
        <v>0</v>
      </c>
      <c r="P107" s="24">
        <f t="shared" si="36"/>
        <v>0</v>
      </c>
      <c r="Q107" s="24">
        <f t="shared" si="36"/>
        <v>0</v>
      </c>
      <c r="R107" s="24">
        <f t="shared" si="36"/>
        <v>0</v>
      </c>
      <c r="S107" s="24">
        <f t="shared" si="36"/>
        <v>0</v>
      </c>
      <c r="T107" s="24">
        <f t="shared" si="36"/>
        <v>0</v>
      </c>
      <c r="U107" s="24">
        <f t="shared" si="36"/>
        <v>0</v>
      </c>
      <c r="V107" s="24">
        <f t="shared" si="36"/>
        <v>0</v>
      </c>
      <c r="W107" s="24">
        <f t="shared" si="36"/>
        <v>0</v>
      </c>
      <c r="X107" s="24">
        <f t="shared" si="36"/>
        <v>0</v>
      </c>
      <c r="Y107" s="24">
        <f t="shared" si="36"/>
        <v>0</v>
      </c>
      <c r="Z107" s="24">
        <f t="shared" si="36"/>
        <v>0</v>
      </c>
      <c r="AA107" s="24">
        <f t="shared" si="36"/>
        <v>0</v>
      </c>
      <c r="AB107" s="24">
        <f t="shared" si="36"/>
        <v>0</v>
      </c>
      <c r="AC107" s="24">
        <f t="shared" si="36"/>
        <v>0</v>
      </c>
      <c r="AD107" s="24">
        <f t="shared" si="36"/>
        <v>0</v>
      </c>
      <c r="AE107" s="24">
        <f t="shared" si="36"/>
        <v>0</v>
      </c>
      <c r="AF107" s="24">
        <f t="shared" si="36"/>
        <v>0</v>
      </c>
      <c r="AG107" s="24">
        <f t="shared" si="36"/>
        <v>0</v>
      </c>
      <c r="AH107" s="24">
        <f t="shared" si="36"/>
        <v>0</v>
      </c>
    </row>
    <row r="108" spans="1:45" x14ac:dyDescent="0.35">
      <c r="C108" s="3" t="s">
        <v>60</v>
      </c>
      <c r="D108" s="24">
        <f t="shared" ref="D108:AH108" si="37">IF(D$4="","",COUNTIF(D7:D106,"A")+0.5*COUNTIF(D7:D106,"HD"))</f>
        <v>0</v>
      </c>
      <c r="E108" s="24">
        <f t="shared" si="37"/>
        <v>0</v>
      </c>
      <c r="F108" s="24">
        <f t="shared" si="37"/>
        <v>0</v>
      </c>
      <c r="G108" s="24">
        <f t="shared" si="37"/>
        <v>0</v>
      </c>
      <c r="H108" s="24">
        <f t="shared" si="37"/>
        <v>0</v>
      </c>
      <c r="I108" s="24">
        <f t="shared" si="37"/>
        <v>0</v>
      </c>
      <c r="J108" s="24">
        <f t="shared" si="37"/>
        <v>0</v>
      </c>
      <c r="K108" s="24">
        <f t="shared" si="37"/>
        <v>0</v>
      </c>
      <c r="L108" s="24">
        <f t="shared" si="37"/>
        <v>0</v>
      </c>
      <c r="M108" s="24">
        <f t="shared" si="37"/>
        <v>0</v>
      </c>
      <c r="N108" s="24">
        <f t="shared" si="37"/>
        <v>0</v>
      </c>
      <c r="O108" s="24">
        <f t="shared" si="37"/>
        <v>0</v>
      </c>
      <c r="P108" s="24">
        <f t="shared" si="37"/>
        <v>0</v>
      </c>
      <c r="Q108" s="24">
        <f t="shared" si="37"/>
        <v>0</v>
      </c>
      <c r="R108" s="24">
        <f t="shared" si="37"/>
        <v>0</v>
      </c>
      <c r="S108" s="24">
        <f t="shared" si="37"/>
        <v>0</v>
      </c>
      <c r="T108" s="24">
        <f t="shared" si="37"/>
        <v>0</v>
      </c>
      <c r="U108" s="24">
        <f t="shared" si="37"/>
        <v>0</v>
      </c>
      <c r="V108" s="24">
        <f t="shared" si="37"/>
        <v>0</v>
      </c>
      <c r="W108" s="24">
        <f t="shared" si="37"/>
        <v>0</v>
      </c>
      <c r="X108" s="24">
        <f t="shared" si="37"/>
        <v>0</v>
      </c>
      <c r="Y108" s="24">
        <f t="shared" si="37"/>
        <v>0</v>
      </c>
      <c r="Z108" s="24">
        <f t="shared" si="37"/>
        <v>0</v>
      </c>
      <c r="AA108" s="24">
        <f t="shared" si="37"/>
        <v>0</v>
      </c>
      <c r="AB108" s="24">
        <f t="shared" si="37"/>
        <v>0</v>
      </c>
      <c r="AC108" s="24">
        <f t="shared" si="37"/>
        <v>0</v>
      </c>
      <c r="AD108" s="24">
        <f t="shared" si="37"/>
        <v>0</v>
      </c>
      <c r="AE108" s="24">
        <f t="shared" si="37"/>
        <v>0</v>
      </c>
      <c r="AF108" s="24">
        <f t="shared" si="37"/>
        <v>0</v>
      </c>
      <c r="AG108" s="24">
        <f t="shared" si="37"/>
        <v>0</v>
      </c>
      <c r="AH108" s="24">
        <f t="shared" si="37"/>
        <v>0</v>
      </c>
    </row>
  </sheetData>
  <conditionalFormatting sqref="D7:AH106">
    <cfRule type="cellIs" dxfId="9" priority="1" operator="equal">
      <formula>"P"</formula>
    </cfRule>
    <cfRule type="cellIs" dxfId="8" priority="2" operator="equal">
      <formula>"A"</formula>
    </cfRule>
    <cfRule type="cellIs" dxfId="7" priority="3" operator="equal">
      <formula>"HD"</formula>
    </cfRule>
    <cfRule type="cellIs" dxfId="6" priority="4" operator="equal">
      <formula>"WO"</formula>
    </cfRule>
    <cfRule type="cellIs" dxfId="5" priority="5" operator="equal">
      <formula>"PH"</formula>
    </cfRule>
    <cfRule type="cellIs" dxfId="4" priority="6" operator="equal">
      <formula>"CL"</formula>
    </cfRule>
    <cfRule type="cellIs" dxfId="3" priority="7" operator="equal">
      <formula>"SL"</formula>
    </cfRule>
    <cfRule type="cellIs" dxfId="2" priority="8" operator="equal">
      <formula>"PL"</formula>
    </cfRule>
    <cfRule type="expression" dxfId="1" priority="9">
      <formula>AND(D$6="WO",D7="",$B7&lt;&gt;"")</formula>
    </cfRule>
    <cfRule type="expression" dxfId="0" priority="10">
      <formula>AND(D$6="PH",D7="",$B7&lt;&gt;"")</formula>
    </cfRule>
  </conditionalFormatting>
  <dataValidations count="1">
    <dataValidation type="list" allowBlank="1" error="Choose: P, A, HD, WO, PH, CL, SL or PL" sqref="D7:AH106" xr:uid="{00000000-0002-0000-0100-000000000000}">
      <formula1>"P,A,HD,WO,PH,CL,SL,PL"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30" customWidth="1"/>
    <col min="3" max="3" width="20" customWidth="1"/>
    <col min="4" max="4" width="22" customWidth="1"/>
    <col min="5" max="5" width="16" customWidth="1"/>
  </cols>
  <sheetData>
    <row r="1" spans="1:5" ht="18" x14ac:dyDescent="0.4">
      <c r="A1" s="1" t="s">
        <v>61</v>
      </c>
    </row>
    <row r="2" spans="1:5" x14ac:dyDescent="0.35">
      <c r="A2" s="2" t="s">
        <v>62</v>
      </c>
    </row>
    <row r="4" spans="1:5" ht="30" customHeight="1" x14ac:dyDescent="0.35">
      <c r="A4" s="4" t="s">
        <v>49</v>
      </c>
      <c r="B4" s="4" t="s">
        <v>50</v>
      </c>
      <c r="C4" s="4" t="s">
        <v>63</v>
      </c>
      <c r="D4" s="4" t="s">
        <v>64</v>
      </c>
      <c r="E4" s="4" t="s">
        <v>65</v>
      </c>
    </row>
    <row r="5" spans="1:5" x14ac:dyDescent="0.35">
      <c r="A5" s="6" t="s">
        <v>66</v>
      </c>
      <c r="B5" s="6" t="s">
        <v>67</v>
      </c>
      <c r="C5" s="6" t="s">
        <v>68</v>
      </c>
      <c r="D5" s="6" t="s">
        <v>69</v>
      </c>
      <c r="E5" s="7">
        <v>45383</v>
      </c>
    </row>
    <row r="6" spans="1:5" x14ac:dyDescent="0.35">
      <c r="A6" s="6"/>
      <c r="B6" s="6"/>
      <c r="C6" s="6"/>
      <c r="D6" s="6"/>
      <c r="E6" s="7"/>
    </row>
    <row r="7" spans="1:5" x14ac:dyDescent="0.35">
      <c r="A7" s="6"/>
      <c r="B7" s="6"/>
      <c r="C7" s="6"/>
      <c r="D7" s="6"/>
      <c r="E7" s="7"/>
    </row>
    <row r="8" spans="1:5" x14ac:dyDescent="0.35">
      <c r="A8" s="6"/>
      <c r="B8" s="6"/>
      <c r="C8" s="6"/>
      <c r="D8" s="6"/>
      <c r="E8" s="7"/>
    </row>
    <row r="9" spans="1:5" x14ac:dyDescent="0.35">
      <c r="A9" s="6"/>
      <c r="B9" s="6"/>
      <c r="C9" s="6"/>
      <c r="D9" s="6"/>
      <c r="E9" s="7"/>
    </row>
    <row r="10" spans="1:5" x14ac:dyDescent="0.35">
      <c r="A10" s="6"/>
      <c r="B10" s="6"/>
      <c r="C10" s="6"/>
      <c r="D10" s="6"/>
      <c r="E10" s="7"/>
    </row>
    <row r="11" spans="1:5" x14ac:dyDescent="0.35">
      <c r="A11" s="6"/>
      <c r="B11" s="6"/>
      <c r="C11" s="6"/>
      <c r="D11" s="6"/>
      <c r="E11" s="7"/>
    </row>
    <row r="12" spans="1:5" x14ac:dyDescent="0.35">
      <c r="A12" s="6"/>
      <c r="B12" s="6"/>
      <c r="C12" s="6"/>
      <c r="D12" s="6"/>
      <c r="E12" s="7"/>
    </row>
    <row r="13" spans="1:5" x14ac:dyDescent="0.35">
      <c r="A13" s="6"/>
      <c r="B13" s="6"/>
      <c r="C13" s="6"/>
      <c r="D13" s="6"/>
      <c r="E13" s="7"/>
    </row>
    <row r="14" spans="1:5" x14ac:dyDescent="0.35">
      <c r="A14" s="6"/>
      <c r="B14" s="6"/>
      <c r="C14" s="6"/>
      <c r="D14" s="6"/>
      <c r="E14" s="7"/>
    </row>
    <row r="15" spans="1:5" x14ac:dyDescent="0.35">
      <c r="A15" s="6"/>
      <c r="B15" s="6"/>
      <c r="C15" s="6"/>
      <c r="D15" s="6"/>
      <c r="E15" s="7"/>
    </row>
    <row r="16" spans="1:5" x14ac:dyDescent="0.35">
      <c r="A16" s="6"/>
      <c r="B16" s="6"/>
      <c r="C16" s="6"/>
      <c r="D16" s="6"/>
      <c r="E16" s="7"/>
    </row>
    <row r="17" spans="1:5" x14ac:dyDescent="0.35">
      <c r="A17" s="6"/>
      <c r="B17" s="6"/>
      <c r="C17" s="6"/>
      <c r="D17" s="6"/>
      <c r="E17" s="7"/>
    </row>
    <row r="18" spans="1:5" x14ac:dyDescent="0.35">
      <c r="A18" s="6"/>
      <c r="B18" s="6"/>
      <c r="C18" s="6"/>
      <c r="D18" s="6"/>
      <c r="E18" s="7"/>
    </row>
    <row r="19" spans="1:5" x14ac:dyDescent="0.35">
      <c r="A19" s="6"/>
      <c r="B19" s="6"/>
      <c r="C19" s="6"/>
      <c r="D19" s="6"/>
      <c r="E19" s="7"/>
    </row>
    <row r="20" spans="1:5" x14ac:dyDescent="0.35">
      <c r="A20" s="6"/>
      <c r="B20" s="6"/>
      <c r="C20" s="6"/>
      <c r="D20" s="6"/>
      <c r="E20" s="7"/>
    </row>
    <row r="21" spans="1:5" x14ac:dyDescent="0.35">
      <c r="A21" s="6"/>
      <c r="B21" s="6"/>
      <c r="C21" s="6"/>
      <c r="D21" s="6"/>
      <c r="E21" s="7"/>
    </row>
    <row r="22" spans="1:5" x14ac:dyDescent="0.35">
      <c r="A22" s="6"/>
      <c r="B22" s="6"/>
      <c r="C22" s="6"/>
      <c r="D22" s="6"/>
      <c r="E22" s="7"/>
    </row>
    <row r="23" spans="1:5" x14ac:dyDescent="0.35">
      <c r="A23" s="6"/>
      <c r="B23" s="6"/>
      <c r="C23" s="6"/>
      <c r="D23" s="6"/>
      <c r="E23" s="7"/>
    </row>
    <row r="24" spans="1:5" x14ac:dyDescent="0.35">
      <c r="A24" s="6"/>
      <c r="B24" s="6"/>
      <c r="C24" s="6"/>
      <c r="D24" s="6"/>
      <c r="E24" s="7"/>
    </row>
    <row r="25" spans="1:5" x14ac:dyDescent="0.35">
      <c r="A25" s="6"/>
      <c r="B25" s="6"/>
      <c r="C25" s="6"/>
      <c r="D25" s="6"/>
      <c r="E25" s="7"/>
    </row>
    <row r="26" spans="1:5" x14ac:dyDescent="0.35">
      <c r="A26" s="6"/>
      <c r="B26" s="6"/>
      <c r="C26" s="6"/>
      <c r="D26" s="6"/>
      <c r="E26" s="7"/>
    </row>
    <row r="27" spans="1:5" x14ac:dyDescent="0.35">
      <c r="A27" s="6"/>
      <c r="B27" s="6"/>
      <c r="C27" s="6"/>
      <c r="D27" s="6"/>
      <c r="E27" s="7"/>
    </row>
    <row r="28" spans="1:5" x14ac:dyDescent="0.35">
      <c r="A28" s="6"/>
      <c r="B28" s="6"/>
      <c r="C28" s="6"/>
      <c r="D28" s="6"/>
      <c r="E28" s="7"/>
    </row>
    <row r="29" spans="1:5" x14ac:dyDescent="0.35">
      <c r="A29" s="6"/>
      <c r="B29" s="6"/>
      <c r="C29" s="6"/>
      <c r="D29" s="6"/>
      <c r="E29" s="7"/>
    </row>
    <row r="30" spans="1:5" x14ac:dyDescent="0.35">
      <c r="A30" s="6"/>
      <c r="B30" s="6"/>
      <c r="C30" s="6"/>
      <c r="D30" s="6"/>
      <c r="E30" s="7"/>
    </row>
    <row r="31" spans="1:5" x14ac:dyDescent="0.35">
      <c r="A31" s="6"/>
      <c r="B31" s="6"/>
      <c r="C31" s="6"/>
      <c r="D31" s="6"/>
      <c r="E31" s="7"/>
    </row>
    <row r="32" spans="1:5" x14ac:dyDescent="0.35">
      <c r="A32" s="6"/>
      <c r="B32" s="6"/>
      <c r="C32" s="6"/>
      <c r="D32" s="6"/>
      <c r="E32" s="7"/>
    </row>
    <row r="33" spans="1:5" x14ac:dyDescent="0.35">
      <c r="A33" s="6"/>
      <c r="B33" s="6"/>
      <c r="C33" s="6"/>
      <c r="D33" s="6"/>
      <c r="E33" s="7"/>
    </row>
    <row r="34" spans="1:5" x14ac:dyDescent="0.35">
      <c r="A34" s="6"/>
      <c r="B34" s="6"/>
      <c r="C34" s="6"/>
      <c r="D34" s="6"/>
      <c r="E34" s="7"/>
    </row>
    <row r="35" spans="1:5" x14ac:dyDescent="0.35">
      <c r="A35" s="6"/>
      <c r="B35" s="6"/>
      <c r="C35" s="6"/>
      <c r="D35" s="6"/>
      <c r="E35" s="7"/>
    </row>
    <row r="36" spans="1:5" x14ac:dyDescent="0.35">
      <c r="A36" s="6"/>
      <c r="B36" s="6"/>
      <c r="C36" s="6"/>
      <c r="D36" s="6"/>
      <c r="E36" s="7"/>
    </row>
    <row r="37" spans="1:5" x14ac:dyDescent="0.35">
      <c r="A37" s="6"/>
      <c r="B37" s="6"/>
      <c r="C37" s="6"/>
      <c r="D37" s="6"/>
      <c r="E37" s="7"/>
    </row>
    <row r="38" spans="1:5" x14ac:dyDescent="0.35">
      <c r="A38" s="6"/>
      <c r="B38" s="6"/>
      <c r="C38" s="6"/>
      <c r="D38" s="6"/>
      <c r="E38" s="7"/>
    </row>
    <row r="39" spans="1:5" x14ac:dyDescent="0.35">
      <c r="A39" s="6"/>
      <c r="B39" s="6"/>
      <c r="C39" s="6"/>
      <c r="D39" s="6"/>
      <c r="E39" s="7"/>
    </row>
    <row r="40" spans="1:5" x14ac:dyDescent="0.35">
      <c r="A40" s="6"/>
      <c r="B40" s="6"/>
      <c r="C40" s="6"/>
      <c r="D40" s="6"/>
      <c r="E40" s="7"/>
    </row>
    <row r="41" spans="1:5" x14ac:dyDescent="0.35">
      <c r="A41" s="6"/>
      <c r="B41" s="6"/>
      <c r="C41" s="6"/>
      <c r="D41" s="6"/>
      <c r="E41" s="7"/>
    </row>
    <row r="42" spans="1:5" x14ac:dyDescent="0.35">
      <c r="A42" s="6"/>
      <c r="B42" s="6"/>
      <c r="C42" s="6"/>
      <c r="D42" s="6"/>
      <c r="E42" s="7"/>
    </row>
    <row r="43" spans="1:5" x14ac:dyDescent="0.35">
      <c r="A43" s="6"/>
      <c r="B43" s="6"/>
      <c r="C43" s="6"/>
      <c r="D43" s="6"/>
      <c r="E43" s="7"/>
    </row>
    <row r="44" spans="1:5" x14ac:dyDescent="0.35">
      <c r="A44" s="6"/>
      <c r="B44" s="6"/>
      <c r="C44" s="6"/>
      <c r="D44" s="6"/>
      <c r="E44" s="7"/>
    </row>
    <row r="45" spans="1:5" x14ac:dyDescent="0.35">
      <c r="A45" s="6"/>
      <c r="B45" s="6"/>
      <c r="C45" s="6"/>
      <c r="D45" s="6"/>
      <c r="E45" s="7"/>
    </row>
    <row r="46" spans="1:5" x14ac:dyDescent="0.35">
      <c r="A46" s="6"/>
      <c r="B46" s="6"/>
      <c r="C46" s="6"/>
      <c r="D46" s="6"/>
      <c r="E46" s="7"/>
    </row>
    <row r="47" spans="1:5" x14ac:dyDescent="0.35">
      <c r="A47" s="6"/>
      <c r="B47" s="6"/>
      <c r="C47" s="6"/>
      <c r="D47" s="6"/>
      <c r="E47" s="7"/>
    </row>
    <row r="48" spans="1:5" x14ac:dyDescent="0.35">
      <c r="A48" s="6"/>
      <c r="B48" s="6"/>
      <c r="C48" s="6"/>
      <c r="D48" s="6"/>
      <c r="E48" s="7"/>
    </row>
    <row r="49" spans="1:5" x14ac:dyDescent="0.35">
      <c r="A49" s="6"/>
      <c r="B49" s="6"/>
      <c r="C49" s="6"/>
      <c r="D49" s="6"/>
      <c r="E49" s="7"/>
    </row>
    <row r="50" spans="1:5" x14ac:dyDescent="0.35">
      <c r="A50" s="6"/>
      <c r="B50" s="6"/>
      <c r="C50" s="6"/>
      <c r="D50" s="6"/>
      <c r="E50" s="7"/>
    </row>
    <row r="51" spans="1:5" x14ac:dyDescent="0.35">
      <c r="A51" s="6"/>
      <c r="B51" s="6"/>
      <c r="C51" s="6"/>
      <c r="D51" s="6"/>
      <c r="E51" s="7"/>
    </row>
    <row r="52" spans="1:5" x14ac:dyDescent="0.35">
      <c r="A52" s="6"/>
      <c r="B52" s="6"/>
      <c r="C52" s="6"/>
      <c r="D52" s="6"/>
      <c r="E52" s="7"/>
    </row>
    <row r="53" spans="1:5" x14ac:dyDescent="0.35">
      <c r="A53" s="6"/>
      <c r="B53" s="6"/>
      <c r="C53" s="6"/>
      <c r="D53" s="6"/>
      <c r="E53" s="7"/>
    </row>
    <row r="54" spans="1:5" x14ac:dyDescent="0.35">
      <c r="A54" s="6"/>
      <c r="B54" s="6"/>
      <c r="C54" s="6"/>
      <c r="D54" s="6"/>
      <c r="E54" s="7"/>
    </row>
    <row r="55" spans="1:5" x14ac:dyDescent="0.35">
      <c r="A55" s="6"/>
      <c r="B55" s="6"/>
      <c r="C55" s="6"/>
      <c r="D55" s="6"/>
      <c r="E55" s="7"/>
    </row>
    <row r="56" spans="1:5" x14ac:dyDescent="0.35">
      <c r="A56" s="6"/>
      <c r="B56" s="6"/>
      <c r="C56" s="6"/>
      <c r="D56" s="6"/>
      <c r="E56" s="7"/>
    </row>
    <row r="57" spans="1:5" x14ac:dyDescent="0.35">
      <c r="A57" s="6"/>
      <c r="B57" s="6"/>
      <c r="C57" s="6"/>
      <c r="D57" s="6"/>
      <c r="E57" s="7"/>
    </row>
    <row r="58" spans="1:5" x14ac:dyDescent="0.35">
      <c r="A58" s="6"/>
      <c r="B58" s="6"/>
      <c r="C58" s="6"/>
      <c r="D58" s="6"/>
      <c r="E58" s="7"/>
    </row>
    <row r="59" spans="1:5" x14ac:dyDescent="0.35">
      <c r="A59" s="6"/>
      <c r="B59" s="6"/>
      <c r="C59" s="6"/>
      <c r="D59" s="6"/>
      <c r="E59" s="7"/>
    </row>
    <row r="60" spans="1:5" x14ac:dyDescent="0.35">
      <c r="A60" s="6"/>
      <c r="B60" s="6"/>
      <c r="C60" s="6"/>
      <c r="D60" s="6"/>
      <c r="E60" s="7"/>
    </row>
    <row r="61" spans="1:5" x14ac:dyDescent="0.35">
      <c r="A61" s="6"/>
      <c r="B61" s="6"/>
      <c r="C61" s="6"/>
      <c r="D61" s="6"/>
      <c r="E61" s="7"/>
    </row>
    <row r="62" spans="1:5" x14ac:dyDescent="0.35">
      <c r="A62" s="6"/>
      <c r="B62" s="6"/>
      <c r="C62" s="6"/>
      <c r="D62" s="6"/>
      <c r="E62" s="7"/>
    </row>
    <row r="63" spans="1:5" x14ac:dyDescent="0.35">
      <c r="A63" s="6"/>
      <c r="B63" s="6"/>
      <c r="C63" s="6"/>
      <c r="D63" s="6"/>
      <c r="E63" s="7"/>
    </row>
    <row r="64" spans="1:5" x14ac:dyDescent="0.35">
      <c r="A64" s="6"/>
      <c r="B64" s="6"/>
      <c r="C64" s="6"/>
      <c r="D64" s="6"/>
      <c r="E64" s="7"/>
    </row>
    <row r="65" spans="1:5" x14ac:dyDescent="0.35">
      <c r="A65" s="6"/>
      <c r="B65" s="6"/>
      <c r="C65" s="6"/>
      <c r="D65" s="6"/>
      <c r="E65" s="7"/>
    </row>
    <row r="66" spans="1:5" x14ac:dyDescent="0.35">
      <c r="A66" s="6"/>
      <c r="B66" s="6"/>
      <c r="C66" s="6"/>
      <c r="D66" s="6"/>
      <c r="E66" s="7"/>
    </row>
    <row r="67" spans="1:5" x14ac:dyDescent="0.35">
      <c r="A67" s="6"/>
      <c r="B67" s="6"/>
      <c r="C67" s="6"/>
      <c r="D67" s="6"/>
      <c r="E67" s="7"/>
    </row>
    <row r="68" spans="1:5" x14ac:dyDescent="0.35">
      <c r="A68" s="6"/>
      <c r="B68" s="6"/>
      <c r="C68" s="6"/>
      <c r="D68" s="6"/>
      <c r="E68" s="7"/>
    </row>
    <row r="69" spans="1:5" x14ac:dyDescent="0.35">
      <c r="A69" s="6"/>
      <c r="B69" s="6"/>
      <c r="C69" s="6"/>
      <c r="D69" s="6"/>
      <c r="E69" s="7"/>
    </row>
    <row r="70" spans="1:5" x14ac:dyDescent="0.35">
      <c r="A70" s="6"/>
      <c r="B70" s="6"/>
      <c r="C70" s="6"/>
      <c r="D70" s="6"/>
      <c r="E70" s="7"/>
    </row>
    <row r="71" spans="1:5" x14ac:dyDescent="0.35">
      <c r="A71" s="6"/>
      <c r="B71" s="6"/>
      <c r="C71" s="6"/>
      <c r="D71" s="6"/>
      <c r="E71" s="7"/>
    </row>
    <row r="72" spans="1:5" x14ac:dyDescent="0.35">
      <c r="A72" s="6"/>
      <c r="B72" s="6"/>
      <c r="C72" s="6"/>
      <c r="D72" s="6"/>
      <c r="E72" s="7"/>
    </row>
    <row r="73" spans="1:5" x14ac:dyDescent="0.35">
      <c r="A73" s="6"/>
      <c r="B73" s="6"/>
      <c r="C73" s="6"/>
      <c r="D73" s="6"/>
      <c r="E73" s="7"/>
    </row>
    <row r="74" spans="1:5" x14ac:dyDescent="0.35">
      <c r="A74" s="6"/>
      <c r="B74" s="6"/>
      <c r="C74" s="6"/>
      <c r="D74" s="6"/>
      <c r="E74" s="7"/>
    </row>
    <row r="75" spans="1:5" x14ac:dyDescent="0.35">
      <c r="A75" s="6"/>
      <c r="B75" s="6"/>
      <c r="C75" s="6"/>
      <c r="D75" s="6"/>
      <c r="E75" s="7"/>
    </row>
    <row r="76" spans="1:5" x14ac:dyDescent="0.35">
      <c r="A76" s="6"/>
      <c r="B76" s="6"/>
      <c r="C76" s="6"/>
      <c r="D76" s="6"/>
      <c r="E76" s="7"/>
    </row>
    <row r="77" spans="1:5" x14ac:dyDescent="0.35">
      <c r="A77" s="6"/>
      <c r="B77" s="6"/>
      <c r="C77" s="6"/>
      <c r="D77" s="6"/>
      <c r="E77" s="7"/>
    </row>
    <row r="78" spans="1:5" x14ac:dyDescent="0.35">
      <c r="A78" s="6"/>
      <c r="B78" s="6"/>
      <c r="C78" s="6"/>
      <c r="D78" s="6"/>
      <c r="E78" s="7"/>
    </row>
    <row r="79" spans="1:5" x14ac:dyDescent="0.35">
      <c r="A79" s="6"/>
      <c r="B79" s="6"/>
      <c r="C79" s="6"/>
      <c r="D79" s="6"/>
      <c r="E79" s="7"/>
    </row>
    <row r="80" spans="1:5" x14ac:dyDescent="0.35">
      <c r="A80" s="6"/>
      <c r="B80" s="6"/>
      <c r="C80" s="6"/>
      <c r="D80" s="6"/>
      <c r="E80" s="7"/>
    </row>
    <row r="81" spans="1:5" x14ac:dyDescent="0.35">
      <c r="A81" s="6"/>
      <c r="B81" s="6"/>
      <c r="C81" s="6"/>
      <c r="D81" s="6"/>
      <c r="E81" s="7"/>
    </row>
    <row r="82" spans="1:5" x14ac:dyDescent="0.35">
      <c r="A82" s="6"/>
      <c r="B82" s="6"/>
      <c r="C82" s="6"/>
      <c r="D82" s="6"/>
      <c r="E82" s="7"/>
    </row>
    <row r="83" spans="1:5" x14ac:dyDescent="0.35">
      <c r="A83" s="6"/>
      <c r="B83" s="6"/>
      <c r="C83" s="6"/>
      <c r="D83" s="6"/>
      <c r="E83" s="7"/>
    </row>
    <row r="84" spans="1:5" x14ac:dyDescent="0.35">
      <c r="A84" s="6"/>
      <c r="B84" s="6"/>
      <c r="C84" s="6"/>
      <c r="D84" s="6"/>
      <c r="E84" s="7"/>
    </row>
    <row r="85" spans="1:5" x14ac:dyDescent="0.35">
      <c r="A85" s="6"/>
      <c r="B85" s="6"/>
      <c r="C85" s="6"/>
      <c r="D85" s="6"/>
      <c r="E85" s="7"/>
    </row>
    <row r="86" spans="1:5" x14ac:dyDescent="0.35">
      <c r="A86" s="6"/>
      <c r="B86" s="6"/>
      <c r="C86" s="6"/>
      <c r="D86" s="6"/>
      <c r="E86" s="7"/>
    </row>
    <row r="87" spans="1:5" x14ac:dyDescent="0.35">
      <c r="A87" s="6"/>
      <c r="B87" s="6"/>
      <c r="C87" s="6"/>
      <c r="D87" s="6"/>
      <c r="E87" s="7"/>
    </row>
    <row r="88" spans="1:5" x14ac:dyDescent="0.35">
      <c r="A88" s="6"/>
      <c r="B88" s="6"/>
      <c r="C88" s="6"/>
      <c r="D88" s="6"/>
      <c r="E88" s="7"/>
    </row>
    <row r="89" spans="1:5" x14ac:dyDescent="0.35">
      <c r="A89" s="6"/>
      <c r="B89" s="6"/>
      <c r="C89" s="6"/>
      <c r="D89" s="6"/>
      <c r="E89" s="7"/>
    </row>
    <row r="90" spans="1:5" x14ac:dyDescent="0.35">
      <c r="A90" s="6"/>
      <c r="B90" s="6"/>
      <c r="C90" s="6"/>
      <c r="D90" s="6"/>
      <c r="E90" s="7"/>
    </row>
    <row r="91" spans="1:5" x14ac:dyDescent="0.35">
      <c r="A91" s="6"/>
      <c r="B91" s="6"/>
      <c r="C91" s="6"/>
      <c r="D91" s="6"/>
      <c r="E91" s="7"/>
    </row>
    <row r="92" spans="1:5" x14ac:dyDescent="0.35">
      <c r="A92" s="6"/>
      <c r="B92" s="6"/>
      <c r="C92" s="6"/>
      <c r="D92" s="6"/>
      <c r="E92" s="7"/>
    </row>
    <row r="93" spans="1:5" x14ac:dyDescent="0.35">
      <c r="A93" s="6"/>
      <c r="B93" s="6"/>
      <c r="C93" s="6"/>
      <c r="D93" s="6"/>
      <c r="E93" s="7"/>
    </row>
    <row r="94" spans="1:5" x14ac:dyDescent="0.35">
      <c r="A94" s="6"/>
      <c r="B94" s="6"/>
      <c r="C94" s="6"/>
      <c r="D94" s="6"/>
      <c r="E94" s="7"/>
    </row>
    <row r="95" spans="1:5" x14ac:dyDescent="0.35">
      <c r="A95" s="6"/>
      <c r="B95" s="6"/>
      <c r="C95" s="6"/>
      <c r="D95" s="6"/>
      <c r="E95" s="7"/>
    </row>
    <row r="96" spans="1:5" x14ac:dyDescent="0.35">
      <c r="A96" s="6"/>
      <c r="B96" s="6"/>
      <c r="C96" s="6"/>
      <c r="D96" s="6"/>
      <c r="E96" s="7"/>
    </row>
    <row r="97" spans="1:5" x14ac:dyDescent="0.35">
      <c r="A97" s="6"/>
      <c r="B97" s="6"/>
      <c r="C97" s="6"/>
      <c r="D97" s="6"/>
      <c r="E97" s="7"/>
    </row>
    <row r="98" spans="1:5" x14ac:dyDescent="0.35">
      <c r="A98" s="6"/>
      <c r="B98" s="6"/>
      <c r="C98" s="6"/>
      <c r="D98" s="6"/>
      <c r="E98" s="7"/>
    </row>
    <row r="99" spans="1:5" x14ac:dyDescent="0.35">
      <c r="A99" s="6"/>
      <c r="B99" s="6"/>
      <c r="C99" s="6"/>
      <c r="D99" s="6"/>
      <c r="E99" s="7"/>
    </row>
    <row r="100" spans="1:5" x14ac:dyDescent="0.35">
      <c r="A100" s="6"/>
      <c r="B100" s="6"/>
      <c r="C100" s="6"/>
      <c r="D100" s="6"/>
      <c r="E100" s="7"/>
    </row>
    <row r="101" spans="1:5" x14ac:dyDescent="0.35">
      <c r="A101" s="6"/>
      <c r="B101" s="6"/>
      <c r="C101" s="6"/>
      <c r="D101" s="6"/>
      <c r="E101" s="7"/>
    </row>
    <row r="102" spans="1:5" x14ac:dyDescent="0.35">
      <c r="A102" s="6"/>
      <c r="B102" s="6"/>
      <c r="C102" s="6"/>
      <c r="D102" s="6"/>
      <c r="E102" s="7"/>
    </row>
    <row r="103" spans="1:5" x14ac:dyDescent="0.35">
      <c r="A103" s="6"/>
      <c r="B103" s="6"/>
      <c r="C103" s="6"/>
      <c r="D103" s="6"/>
      <c r="E103" s="7"/>
    </row>
    <row r="104" spans="1:5" x14ac:dyDescent="0.35">
      <c r="A104" s="6"/>
      <c r="B104" s="6"/>
      <c r="C104" s="6"/>
      <c r="D104" s="6"/>
      <c r="E10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</vt:lpstr>
      <vt:lpstr>Attendance</vt:lpstr>
      <vt:lpstr>Employee_List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J's World</cp:lastModifiedBy>
  <dcterms:created xsi:type="dcterms:W3CDTF">2026-10-28T09:55:39Z</dcterms:created>
  <dcterms:modified xsi:type="dcterms:W3CDTF">2026-10-28T10:06:54Z</dcterms:modified>
</cp:coreProperties>
</file>