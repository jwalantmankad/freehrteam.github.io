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Holiday Summary" sheetId="2" state="visible" r:id="rId4"/>
    <sheet name="Holiday Roster" sheetId="3" state="visible" r:id="rId5"/>
    <sheet name="Settings" sheetId="4" state="visible" r:id="rId6"/>
    <sheet name="Lists" sheetId="5" state="visible" r:id="rId7"/>
  </sheets>
  <definedNames>
    <definedName function="false" hidden="false" name="AsOf" vbProcedure="false">Settings!$C$6</definedName>
    <definedName function="false" hidden="false" name="CurFY" vbProcedure="false">Settings!$C$8</definedName>
    <definedName function="false" hidden="false" name="LvAsOf" vbProcedure="false">Settings!$C$9</definedName>
    <definedName function="false" hidden="false" name="LvYear" vbProcedure="false">Settings!$C$7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<sst xmlns="http://schemas.openxmlformats.org/spreadsheetml/2006/main" count="167" uniqueCount="153">
  <si>
    <t xml:space="preserve">HOLIDAY WORKING ROSTER TEMPLATE - START HERE</t>
  </si>
  <si>
    <t xml:space="preserve">Roster for employees working on a holiday, with a location-wise summary and an annual holiday calendar. Empty and ready to fill.</t>
  </si>
  <si>
    <t xml:space="preserve">SHEETS</t>
  </si>
  <si>
    <t xml:space="preserve">Holiday Summary</t>
  </si>
  <si>
    <t xml:space="preserve">Holiday name and dates, location-wise count of employees working (Comp-Off / Extra Pay), and an annual holiday calendar.</t>
  </si>
  <si>
    <t xml:space="preserve">Holiday Roster</t>
  </si>
  <si>
    <t xml:space="preserve">One row per employee working on the holiday: code, name, department, designation, location, shift, contact, compensation, remarks / signature.</t>
  </si>
  <si>
    <t xml:space="preserve">Settings</t>
  </si>
  <si>
    <t xml:space="preserve">Company name (used in the titles).</t>
  </si>
  <si>
    <t xml:space="preserve">Lists</t>
  </si>
  <si>
    <t xml:space="preserve">Dropdown options for Department, Designation, Location, Compensation and Holiday Type.</t>
  </si>
  <si>
    <t xml:space="preserve">HOW TO USE</t>
  </si>
  <si>
    <t xml:space="preserve">1. Settings / Lists</t>
  </si>
  <si>
    <t xml:space="preserve">Type your Company name and replace the example Departments, Locations and Designations.</t>
  </si>
  <si>
    <t xml:space="preserve">2. Holiday Summary</t>
  </si>
  <si>
    <t xml:space="preserve">Enter the Holiday Name, Start Date and End Date in the yellow cells. Optionally fill the annual holiday calendar below.</t>
  </si>
  <si>
    <t xml:space="preserve">3. Holiday Roster</t>
  </si>
  <si>
    <t xml:space="preserve">List each employee working: type the code, name and contact, and pick Department, Designation, Location and Compensation (Comp-Off / Extra Pay). Rows are numbered automatically.</t>
  </si>
  <si>
    <t xml:space="preserve">4. Summary counts</t>
  </si>
  <si>
    <t xml:space="preserve">Location-wise totals on Holiday Summary update by themselves.</t>
  </si>
  <si>
    <t xml:space="preserve">Next holiday</t>
  </si>
  <si>
    <t xml:space="preserve">Clear the yellow roster cells and change the holiday details - or save a copy of the file for each holiday.</t>
  </si>
  <si>
    <t xml:space="preserve">Printing</t>
  </si>
  <si>
    <t xml:space="preserve">Both sheets are set to landscape for printing and signatures.</t>
  </si>
  <si>
    <t xml:space="preserve">COLOUR GUIDE</t>
  </si>
  <si>
    <t xml:space="preserve">Yellow cell, blue text</t>
  </si>
  <si>
    <t xml:space="preserve">Input cell - type here.</t>
  </si>
  <si>
    <t xml:space="preserve">Blue-grey cell</t>
  </si>
  <si>
    <t xml:space="preserve">Calculated automatically - do not type over it.</t>
  </si>
  <si>
    <t xml:space="preserve">LIMITS</t>
  </si>
  <si>
    <t xml:space="preserve">Capacity</t>
  </si>
  <si>
    <t xml:space="preserve">Holiday Roster: 200 employees per holiday. Holiday calendar: 30 holidays. Locations: 10.</t>
  </si>
  <si>
    <t xml:space="preserve">Fill the yellow cells. Then list the employees working on this holiday in the Holiday Roster sheet. For the next holiday, clear the yellow roster cells and change the holiday details here (or save a copy of the file).</t>
  </si>
  <si>
    <t xml:space="preserve">Holiday Name:</t>
  </si>
  <si>
    <t xml:space="preserve">Holiday Start Date:</t>
  </si>
  <si>
    <t xml:space="preserve">Holiday End Date:</t>
  </si>
  <si>
    <t xml:space="preserve">Total Holiday Days:</t>
  </si>
  <si>
    <t xml:space="preserve">Sr No</t>
  </si>
  <si>
    <t xml:space="preserve">Location</t>
  </si>
  <si>
    <t xml:space="preserve">Employees Working</t>
  </si>
  <si>
    <t xml:space="preserve">Comp-Off</t>
  </si>
  <si>
    <t xml:space="preserve">Extra Pay</t>
  </si>
  <si>
    <t xml:space="preserve">Grand Total</t>
  </si>
  <si>
    <t xml:space="preserve">ANNUAL HOLIDAY CALENDAR</t>
  </si>
  <si>
    <t xml:space="preserve">Date</t>
  </si>
  <si>
    <t xml:space="preserve">Day</t>
  </si>
  <si>
    <t xml:space="preserve">Holiday Name</t>
  </si>
  <si>
    <t xml:space="preserve">Type</t>
  </si>
  <si>
    <t xml:space="preserve">Remarks</t>
  </si>
  <si>
    <t xml:space="preserve">Legend: yellow cells are for entry. One row per employee working on the holiday. Department, Designation and Location have dropdowns (edit them in the Lists sheet).</t>
  </si>
  <si>
    <t xml:space="preserve">Emp Code</t>
  </si>
  <si>
    <t xml:space="preserve">Employee Name</t>
  </si>
  <si>
    <t xml:space="preserve">Department</t>
  </si>
  <si>
    <t xml:space="preserve">Designation</t>
  </si>
  <si>
    <t xml:space="preserve">Shift Timing</t>
  </si>
  <si>
    <t xml:space="preserve">Contact No.</t>
  </si>
  <si>
    <t xml:space="preserve">Compensation</t>
  </si>
  <si>
    <t xml:space="preserve">Remarks / Signature</t>
  </si>
  <si>
    <t xml:space="preserve">Settings &amp; Legend</t>
  </si>
  <si>
    <t xml:space="preserve">Yellow cells with blue text are inputs - edit them and every sheet recalculates.</t>
  </si>
  <si>
    <t xml:space="preserve">Setting</t>
  </si>
  <si>
    <t xml:space="preserve">Value</t>
  </si>
  <si>
    <t xml:space="preserve">Note</t>
  </si>
  <si>
    <t xml:space="preserve">Company name</t>
  </si>
  <si>
    <t xml:space="preserve">Your Company Name</t>
  </si>
  <si>
    <t xml:space="preserve">Appears in the titles of every sheet.</t>
  </si>
  <si>
    <t xml:space="preserve">Report / As-of date</t>
  </si>
  <si>
    <t xml:space="preserve">Auto = today. Type a fixed date to freeze age / tenure / birthday calculations.</t>
  </si>
  <si>
    <t xml:space="preserve">Leave year</t>
  </si>
  <si>
    <t xml:space="preserve">Auto = year of the report date. Type a year (e.g. 2026) to fix it. Carry-forward PL is entered in Leave Record.</t>
  </si>
  <si>
    <t xml:space="preserve">Current financial year (auto)</t>
  </si>
  <si>
    <t xml:space="preserve">Apr-Mar. Used for joiners / exits this FY.</t>
  </si>
  <si>
    <t xml:space="preserve">Leave as-of date (auto)</t>
  </si>
  <si>
    <t xml:space="preserve">Report date capped at the leave-year end.</t>
  </si>
  <si>
    <t xml:space="preserve">CL (Casual Leave) per year</t>
  </si>
  <si>
    <t xml:space="preserve">Default from your Leave Tracker template.</t>
  </si>
  <si>
    <t xml:space="preserve">SL (Sick Leave) per year</t>
  </si>
  <si>
    <t xml:space="preserve">PL (Paid Leave) per year</t>
  </si>
  <si>
    <t xml:space="preserve">Accrued pro-rata: PL/365 per day from the eligibility date (rounded down to 0.5).</t>
  </si>
  <si>
    <t xml:space="preserve">Confirmation period (days after DOJ)</t>
  </si>
  <si>
    <t xml:space="preserve">Leave starts after confirmation (DOJ + this many days). Also sets Employment Type: Permanent after this many days from DOJ, otherwise Probation.</t>
  </si>
  <si>
    <t xml:space="preserve">Training days per year (per employee)</t>
  </si>
  <si>
    <t xml:space="preserve">ASSUMPTION: set to your training policy (0 = none).</t>
  </si>
  <si>
    <t xml:space="preserve">"LOW" alert when total pending (CL+SL+PL) is at or below</t>
  </si>
  <si>
    <t xml:space="preserve">Flags employees on the Dashboard attention list.</t>
  </si>
  <si>
    <t xml:space="preserve">Free late marks per month before deduction</t>
  </si>
  <si>
    <t xml:space="preserve">Deduction per extra late mark (days)</t>
  </si>
  <si>
    <t xml:space="preserve">Birthday / anniversary alert window (days)</t>
  </si>
  <si>
    <t xml:space="preserve">Dashboard counts birthdays and work anniversaries within this many days.</t>
  </si>
  <si>
    <t xml:space="preserve">Attendance codes (type or pick from the dropdown in the day cells of the Attendance sheet)</t>
  </si>
  <si>
    <t xml:space="preserve">Code</t>
  </si>
  <si>
    <t xml:space="preserve">Meaning</t>
  </si>
  <si>
    <t xml:space="preserve">Effect on payable days / leave balance</t>
  </si>
  <si>
    <t xml:space="preserve">P</t>
  </si>
  <si>
    <t xml:space="preserve">Present</t>
  </si>
  <si>
    <t xml:space="preserve">1 payable day</t>
  </si>
  <si>
    <t xml:space="preserve">A</t>
  </si>
  <si>
    <t xml:space="preserve">Absent</t>
  </si>
  <si>
    <t xml:space="preserve">Not paid</t>
  </si>
  <si>
    <t xml:space="preserve">HA</t>
  </si>
  <si>
    <t xml:space="preserve">Half-day absent</t>
  </si>
  <si>
    <t xml:space="preserve">0.5 payable day</t>
  </si>
  <si>
    <t xml:space="preserve">L</t>
  </si>
  <si>
    <t xml:space="preserve">Late</t>
  </si>
  <si>
    <t xml:space="preserve">1 payable day; counts toward late deduction</t>
  </si>
  <si>
    <t xml:space="preserve">PL</t>
  </si>
  <si>
    <t xml:space="preserve">Paid Leave</t>
  </si>
  <si>
    <t xml:space="preserve">1 payable day; 1 deducted from PL balance</t>
  </si>
  <si>
    <t xml:space="preserve">HPL</t>
  </si>
  <si>
    <t xml:space="preserve">Half-day Paid Leave</t>
  </si>
  <si>
    <t xml:space="preserve">1 payable day (0.5 leave + 0.5 worked); 0.5 deducted from PL balance</t>
  </si>
  <si>
    <t xml:space="preserve">CL</t>
  </si>
  <si>
    <t xml:space="preserve">Casual Leave</t>
  </si>
  <si>
    <t xml:space="preserve">1 payable day; 1 deducted from CL balance</t>
  </si>
  <si>
    <t xml:space="preserve">HCL</t>
  </si>
  <si>
    <t xml:space="preserve">Half-day Casual Leave</t>
  </si>
  <si>
    <t xml:space="preserve">1 payable day (0.5 leave + 0.5 worked); 0.5 deducted from CL balance</t>
  </si>
  <si>
    <t xml:space="preserve">SL</t>
  </si>
  <si>
    <t xml:space="preserve">Sick Leave</t>
  </si>
  <si>
    <t xml:space="preserve">1 payable day; 1 deducted from SL balance</t>
  </si>
  <si>
    <t xml:space="preserve">CO</t>
  </si>
  <si>
    <t xml:space="preserve">Compensatory Off</t>
  </si>
  <si>
    <t xml:space="preserve">WO</t>
  </si>
  <si>
    <t xml:space="preserve">Weekly Off</t>
  </si>
  <si>
    <t xml:space="preserve">PH</t>
  </si>
  <si>
    <t xml:space="preserve">Public Holiday</t>
  </si>
  <si>
    <t xml:space="preserve">TR</t>
  </si>
  <si>
    <t xml:space="preserve">Training Day</t>
  </si>
  <si>
    <t xml:space="preserve">1 payable day; counted against Training days balance</t>
  </si>
  <si>
    <t xml:space="preserve">Note: half-day codes (HA, HPL, HCL) are treated as shown above. If your payroll rule is different, edit the Gross Payable Days formula in Attendance column BA.</t>
  </si>
  <si>
    <t xml:space="preserve">Lists (dropdown options)</t>
  </si>
  <si>
    <t xml:space="preserve">Overwrite the example Departments, Locations and Designations with your own. Type new options under the last item of a list. Do not delete the header row.</t>
  </si>
  <si>
    <t xml:space="preserve">Holiday Compensation</t>
  </si>
  <si>
    <t xml:space="preserve">Holiday Type</t>
  </si>
  <si>
    <t xml:space="preserve">Admin</t>
  </si>
  <si>
    <t xml:space="preserve">Location 1</t>
  </si>
  <si>
    <t xml:space="preserve">Manager</t>
  </si>
  <si>
    <t xml:space="preserve">National</t>
  </si>
  <si>
    <t xml:space="preserve">Accounts</t>
  </si>
  <si>
    <t xml:space="preserve">Location 2</t>
  </si>
  <si>
    <t xml:space="preserve">Executive</t>
  </si>
  <si>
    <t xml:space="preserve">Festival</t>
  </si>
  <si>
    <t xml:space="preserve">HR</t>
  </si>
  <si>
    <t xml:space="preserve">Supervisor</t>
  </si>
  <si>
    <t xml:space="preserve">Optional</t>
  </si>
  <si>
    <t xml:space="preserve">IT</t>
  </si>
  <si>
    <t xml:space="preserve">Operator</t>
  </si>
  <si>
    <t xml:space="preserve">Company</t>
  </si>
  <si>
    <t xml:space="preserve">Operations</t>
  </si>
  <si>
    <t xml:space="preserve">Assistant</t>
  </si>
  <si>
    <t xml:space="preserve">Production</t>
  </si>
  <si>
    <t xml:space="preserve">Sales</t>
  </si>
  <si>
    <t xml:space="preserve">Stores</t>
  </si>
</sst>
</file>

<file path=xl/styles.xml><?xml version="1.0" encoding="utf-8"?>
<styleSheet xmlns="http://schemas.openxmlformats.org/spreadsheetml/2006/main">
  <numFmts count="6">
    <numFmt numFmtId="164" formatCode="General"/>
    <numFmt numFmtId="165" formatCode="dd\-mmm\-yyyy"/>
    <numFmt numFmtId="166" formatCode="0"/>
    <numFmt numFmtId="167" formatCode="General"/>
    <numFmt numFmtId="168" formatCode="@"/>
    <numFmt numFmtId="169" formatCode="0.0"/>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s>
  <fills count="7">
    <fill>
      <patternFill patternType="none"/>
    </fill>
    <fill>
      <patternFill patternType="gray125"/>
    </fill>
    <fill>
      <patternFill patternType="solid">
        <fgColor rgb="FF2F5597"/>
        <bgColor rgb="FF1F3864"/>
      </patternFill>
    </fill>
    <fill>
      <patternFill patternType="solid">
        <fgColor rgb="FFF2F2F2"/>
        <bgColor rgb="FFDDEBF7"/>
      </patternFill>
    </fill>
    <fill>
      <patternFill patternType="solid">
        <fgColor rgb="FFFFF2CC"/>
        <bgColor rgb="FFF2F2F2"/>
      </patternFill>
    </fill>
    <fill>
      <patternFill patternType="solid">
        <fgColor rgb="FFDDEBF7"/>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8" fillId="5" borderId="1" xfId="0" applyFont="true" applyBorder="true" applyAlignment="true" applyProtection="false">
      <alignment horizontal="center" vertical="bottom" textRotation="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5" fontId="8" fillId="5" borderId="1" xfId="0" applyFont="true" applyBorder="true" applyAlignment="true" applyProtection="false">
      <alignment horizontal="center" vertical="bottom" textRotation="0" wrapText="false" indent="0" shrinkToFit="false"/>
      <protection locked="true" hidden="false"/>
    </xf>
    <xf numFmtId="169" fontId="9" fillId="4"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BF9000"/>
      <rgbColor rgb="FFC55A11"/>
      <rgbColor rgb="FF59595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B1:C23"/>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0"/>
  </cols>
  <sheetData>
    <row r="1" customFormat="false" ht="19.7" hidden="false" customHeight="false" outlineLevel="0" collapsed="false">
      <c r="B1" s="1" t="s">
        <v>0</v>
      </c>
      <c r="C1" s="1"/>
    </row>
    <row r="2" customFormat="false" ht="15" hidden="false" customHeight="false" outlineLevel="0" collapsed="false">
      <c r="B2" s="2" t="s">
        <v>1</v>
      </c>
      <c r="C2" s="2"/>
    </row>
    <row r="4" customFormat="false" ht="15" hidden="false" customHeight="false" outlineLevel="0" collapsed="false">
      <c r="B4" s="3" t="s">
        <v>2</v>
      </c>
      <c r="C4" s="3"/>
    </row>
    <row r="5" customFormat="false" ht="30" hidden="false" customHeight="true" outlineLevel="0" collapsed="false">
      <c r="B5" s="4" t="s">
        <v>3</v>
      </c>
      <c r="C5" s="5" t="s">
        <v>4</v>
      </c>
    </row>
    <row r="6" customFormat="false" ht="30" hidden="false" customHeight="true" outlineLevel="0" collapsed="false">
      <c r="B6" s="4" t="s">
        <v>5</v>
      </c>
      <c r="C6" s="5" t="s">
        <v>6</v>
      </c>
    </row>
    <row r="7" customFormat="false" ht="15" hidden="false" customHeight="true" outlineLevel="0" collapsed="false">
      <c r="B7" s="4" t="s">
        <v>7</v>
      </c>
      <c r="C7" s="5" t="s">
        <v>8</v>
      </c>
    </row>
    <row r="8" customFormat="false" ht="15" hidden="false" customHeight="true" outlineLevel="0" collapsed="false">
      <c r="B8" s="4" t="s">
        <v>9</v>
      </c>
      <c r="C8" s="5" t="s">
        <v>10</v>
      </c>
    </row>
    <row r="10" customFormat="false" ht="15" hidden="false" customHeight="false" outlineLevel="0" collapsed="false">
      <c r="B10" s="3" t="s">
        <v>11</v>
      </c>
      <c r="C10" s="3"/>
    </row>
    <row r="11" customFormat="false" ht="15" hidden="false" customHeight="true" outlineLevel="0" collapsed="false">
      <c r="B11" s="4" t="s">
        <v>12</v>
      </c>
      <c r="C11" s="5" t="s">
        <v>13</v>
      </c>
    </row>
    <row r="12" customFormat="false" ht="30" hidden="false" customHeight="true" outlineLevel="0" collapsed="false">
      <c r="B12" s="4" t="s">
        <v>14</v>
      </c>
      <c r="C12" s="5" t="s">
        <v>15</v>
      </c>
    </row>
    <row r="13" customFormat="false" ht="30" hidden="false" customHeight="true" outlineLevel="0" collapsed="false">
      <c r="B13" s="4" t="s">
        <v>16</v>
      </c>
      <c r="C13" s="5" t="s">
        <v>17</v>
      </c>
    </row>
    <row r="14" customFormat="false" ht="15" hidden="false" customHeight="true" outlineLevel="0" collapsed="false">
      <c r="B14" s="4" t="s">
        <v>18</v>
      </c>
      <c r="C14" s="5" t="s">
        <v>19</v>
      </c>
    </row>
    <row r="15" customFormat="false" ht="30" hidden="false" customHeight="true" outlineLevel="0" collapsed="false">
      <c r="B15" s="4" t="s">
        <v>20</v>
      </c>
      <c r="C15" s="5" t="s">
        <v>21</v>
      </c>
    </row>
    <row r="16" customFormat="false" ht="15" hidden="false" customHeight="true" outlineLevel="0" collapsed="false">
      <c r="B16" s="4" t="s">
        <v>22</v>
      </c>
      <c r="C16" s="5" t="s">
        <v>23</v>
      </c>
    </row>
    <row r="18" customFormat="false" ht="15" hidden="false" customHeight="false" outlineLevel="0" collapsed="false">
      <c r="B18" s="3" t="s">
        <v>24</v>
      </c>
      <c r="C18" s="3"/>
    </row>
    <row r="19" customFormat="false" ht="15" hidden="false" customHeight="false" outlineLevel="0" collapsed="false">
      <c r="B19" s="6" t="s">
        <v>25</v>
      </c>
      <c r="C19" s="7" t="s">
        <v>26</v>
      </c>
    </row>
    <row r="20" customFormat="false" ht="15" hidden="false" customHeight="false" outlineLevel="0" collapsed="false">
      <c r="B20" s="8" t="s">
        <v>27</v>
      </c>
      <c r="C20" s="7" t="s">
        <v>28</v>
      </c>
    </row>
    <row r="22" customFormat="false" ht="15" hidden="false" customHeight="false" outlineLevel="0" collapsed="false">
      <c r="B22" s="3" t="s">
        <v>29</v>
      </c>
      <c r="C22" s="3"/>
    </row>
    <row r="23" customFormat="false" ht="15" hidden="false" customHeight="true" outlineLevel="0" collapsed="false">
      <c r="B23" s="9" t="s">
        <v>30</v>
      </c>
      <c r="C23" s="5" t="s">
        <v>31</v>
      </c>
    </row>
  </sheetData>
  <mergeCells count="6">
    <mergeCell ref="B1:C1"/>
    <mergeCell ref="B2:C2"/>
    <mergeCell ref="B4:C4"/>
    <mergeCell ref="B10:C10"/>
    <mergeCell ref="B18:C18"/>
    <mergeCell ref="B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F5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20"/>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2"/>
  </cols>
  <sheetData>
    <row r="1" customFormat="false" ht="19.7" hidden="false" customHeight="false" outlineLevel="0" collapsed="false">
      <c r="A1" s="10" t="str">
        <f aca="false">Settings!$C$5&amp;" - Holiday Working Roster: Location-wise Summary"</f>
        <v>Your Company Name - Holiday Working Roster: Location-wise Summary</v>
      </c>
    </row>
    <row r="2" customFormat="false" ht="15" hidden="false" customHeight="false" outlineLevel="0" collapsed="false">
      <c r="A2" s="11" t="s">
        <v>32</v>
      </c>
    </row>
    <row r="3" customFormat="false" ht="15" hidden="false" customHeight="false" outlineLevel="0" collapsed="false">
      <c r="A3" s="12" t="s">
        <v>33</v>
      </c>
      <c r="B3" s="13"/>
    </row>
    <row r="4" customFormat="false" ht="15" hidden="false" customHeight="false" outlineLevel="0" collapsed="false">
      <c r="A4" s="12" t="s">
        <v>34</v>
      </c>
      <c r="B4" s="14"/>
    </row>
    <row r="5" customFormat="false" ht="15" hidden="false" customHeight="false" outlineLevel="0" collapsed="false">
      <c r="A5" s="12" t="s">
        <v>35</v>
      </c>
      <c r="B5" s="14"/>
    </row>
    <row r="6" customFormat="false" ht="15" hidden="false" customHeight="false" outlineLevel="0" collapsed="false">
      <c r="A6" s="12" t="s">
        <v>36</v>
      </c>
      <c r="B6" s="15" t="str">
        <f aca="false">IF(AND(ISNUMBER(B4),ISNUMBER(B5)),B5-B4+1,"")</f>
        <v/>
      </c>
    </row>
    <row r="8" customFormat="false" ht="15" hidden="false" customHeight="false" outlineLevel="0" collapsed="false">
      <c r="A8" s="16" t="s">
        <v>37</v>
      </c>
      <c r="B8" s="16" t="s">
        <v>38</v>
      </c>
      <c r="C8" s="16" t="s">
        <v>39</v>
      </c>
      <c r="D8" s="16" t="s">
        <v>40</v>
      </c>
      <c r="E8" s="16" t="s">
        <v>41</v>
      </c>
    </row>
    <row r="9" customFormat="false" ht="15" hidden="false" customHeight="false" outlineLevel="0" collapsed="false">
      <c r="A9" s="17" t="n">
        <f aca="false">IF(B9="","",1)</f>
        <v>1</v>
      </c>
      <c r="B9" s="7" t="str">
        <f aca="false">IF(Lists!B5="","",Lists!B5)</f>
        <v>Location 1</v>
      </c>
      <c r="C9" s="17" t="n">
        <f aca="false">IF(B9="","",COUNTIF('Holiday Roster'!$F$6:$F$205,B9))</f>
        <v>0</v>
      </c>
      <c r="D9" s="17" t="n">
        <f aca="false">IF(B9="","",COUNTIFS('Holiday Roster'!$F$6:$F$205,B9,'Holiday Roster'!$I$6:$I$205,"Comp-Off"))</f>
        <v>0</v>
      </c>
      <c r="E9" s="17" t="n">
        <f aca="false">IF(B9="","",COUNTIFS('Holiday Roster'!$F$6:$F$205,B9,'Holiday Roster'!$I$6:$I$205,"Extra Pay"))</f>
        <v>0</v>
      </c>
    </row>
    <row r="10" customFormat="false" ht="15" hidden="false" customHeight="false" outlineLevel="0" collapsed="false">
      <c r="A10" s="17" t="n">
        <f aca="false">IF(B10="","",2)</f>
        <v>2</v>
      </c>
      <c r="B10" s="7" t="str">
        <f aca="false">IF(Lists!B6="","",Lists!B6)</f>
        <v>Location 2</v>
      </c>
      <c r="C10" s="17" t="n">
        <f aca="false">IF(B10="","",COUNTIF('Holiday Roster'!$F$6:$F$205,B10))</f>
        <v>0</v>
      </c>
      <c r="D10" s="17" t="n">
        <f aca="false">IF(B10="","",COUNTIFS('Holiday Roster'!$F$6:$F$205,B10,'Holiday Roster'!$I$6:$I$205,"Comp-Off"))</f>
        <v>0</v>
      </c>
      <c r="E10" s="17" t="n">
        <f aca="false">IF(B10="","",COUNTIFS('Holiday Roster'!$F$6:$F$205,B10,'Holiday Roster'!$I$6:$I$205,"Extra Pay"))</f>
        <v>0</v>
      </c>
    </row>
    <row r="11" customFormat="false" ht="15" hidden="false" customHeight="false" outlineLevel="0" collapsed="false">
      <c r="A11" s="17" t="str">
        <f aca="false">IF(B11="","",3)</f>
        <v/>
      </c>
      <c r="B11" s="7" t="str">
        <f aca="false">IF(Lists!B7="","",Lists!B7)</f>
        <v/>
      </c>
      <c r="C11" s="17" t="str">
        <f aca="false">IF(B11="","",COUNTIF('Holiday Roster'!$F$6:$F$205,B11))</f>
        <v/>
      </c>
      <c r="D11" s="17" t="str">
        <f aca="false">IF(B11="","",COUNTIFS('Holiday Roster'!$F$6:$F$205,B11,'Holiday Roster'!$I$6:$I$205,"Comp-Off"))</f>
        <v/>
      </c>
      <c r="E11" s="17" t="str">
        <f aca="false">IF(B11="","",COUNTIFS('Holiday Roster'!$F$6:$F$205,B11,'Holiday Roster'!$I$6:$I$205,"Extra Pay"))</f>
        <v/>
      </c>
    </row>
    <row r="12" customFormat="false" ht="15" hidden="false" customHeight="false" outlineLevel="0" collapsed="false">
      <c r="A12" s="17" t="str">
        <f aca="false">IF(B12="","",4)</f>
        <v/>
      </c>
      <c r="B12" s="7" t="str">
        <f aca="false">IF(Lists!B8="","",Lists!B8)</f>
        <v/>
      </c>
      <c r="C12" s="17" t="str">
        <f aca="false">IF(B12="","",COUNTIF('Holiday Roster'!$F$6:$F$205,B12))</f>
        <v/>
      </c>
      <c r="D12" s="17" t="str">
        <f aca="false">IF(B12="","",COUNTIFS('Holiday Roster'!$F$6:$F$205,B12,'Holiday Roster'!$I$6:$I$205,"Comp-Off"))</f>
        <v/>
      </c>
      <c r="E12" s="17" t="str">
        <f aca="false">IF(B12="","",COUNTIFS('Holiday Roster'!$F$6:$F$205,B12,'Holiday Roster'!$I$6:$I$205,"Extra Pay"))</f>
        <v/>
      </c>
    </row>
    <row r="13" customFormat="false" ht="15" hidden="false" customHeight="false" outlineLevel="0" collapsed="false">
      <c r="A13" s="17" t="str">
        <f aca="false">IF(B13="","",5)</f>
        <v/>
      </c>
      <c r="B13" s="7" t="str">
        <f aca="false">IF(Lists!B9="","",Lists!B9)</f>
        <v/>
      </c>
      <c r="C13" s="17" t="str">
        <f aca="false">IF(B13="","",COUNTIF('Holiday Roster'!$F$6:$F$205,B13))</f>
        <v/>
      </c>
      <c r="D13" s="17" t="str">
        <f aca="false">IF(B13="","",COUNTIFS('Holiday Roster'!$F$6:$F$205,B13,'Holiday Roster'!$I$6:$I$205,"Comp-Off"))</f>
        <v/>
      </c>
      <c r="E13" s="17" t="str">
        <f aca="false">IF(B13="","",COUNTIFS('Holiday Roster'!$F$6:$F$205,B13,'Holiday Roster'!$I$6:$I$205,"Extra Pay"))</f>
        <v/>
      </c>
    </row>
    <row r="14" customFormat="false" ht="15" hidden="false" customHeight="false" outlineLevel="0" collapsed="false">
      <c r="A14" s="17" t="str">
        <f aca="false">IF(B14="","",6)</f>
        <v/>
      </c>
      <c r="B14" s="7" t="str">
        <f aca="false">IF(Lists!B10="","",Lists!B10)</f>
        <v/>
      </c>
      <c r="C14" s="17" t="str">
        <f aca="false">IF(B14="","",COUNTIF('Holiday Roster'!$F$6:$F$205,B14))</f>
        <v/>
      </c>
      <c r="D14" s="17" t="str">
        <f aca="false">IF(B14="","",COUNTIFS('Holiday Roster'!$F$6:$F$205,B14,'Holiday Roster'!$I$6:$I$205,"Comp-Off"))</f>
        <v/>
      </c>
      <c r="E14" s="17" t="str">
        <f aca="false">IF(B14="","",COUNTIFS('Holiday Roster'!$F$6:$F$205,B14,'Holiday Roster'!$I$6:$I$205,"Extra Pay"))</f>
        <v/>
      </c>
    </row>
    <row r="15" customFormat="false" ht="15" hidden="false" customHeight="false" outlineLevel="0" collapsed="false">
      <c r="A15" s="17" t="str">
        <f aca="false">IF(B15="","",7)</f>
        <v/>
      </c>
      <c r="B15" s="7" t="str">
        <f aca="false">IF(Lists!B11="","",Lists!B11)</f>
        <v/>
      </c>
      <c r="C15" s="17" t="str">
        <f aca="false">IF(B15="","",COUNTIF('Holiday Roster'!$F$6:$F$205,B15))</f>
        <v/>
      </c>
      <c r="D15" s="17" t="str">
        <f aca="false">IF(B15="","",COUNTIFS('Holiday Roster'!$F$6:$F$205,B15,'Holiday Roster'!$I$6:$I$205,"Comp-Off"))</f>
        <v/>
      </c>
      <c r="E15" s="17" t="str">
        <f aca="false">IF(B15="","",COUNTIFS('Holiday Roster'!$F$6:$F$205,B15,'Holiday Roster'!$I$6:$I$205,"Extra Pay"))</f>
        <v/>
      </c>
    </row>
    <row r="16" customFormat="false" ht="15" hidden="false" customHeight="false" outlineLevel="0" collapsed="false">
      <c r="A16" s="17" t="str">
        <f aca="false">IF(B16="","",8)</f>
        <v/>
      </c>
      <c r="B16" s="7" t="str">
        <f aca="false">IF(Lists!B12="","",Lists!B12)</f>
        <v/>
      </c>
      <c r="C16" s="17" t="str">
        <f aca="false">IF(B16="","",COUNTIF('Holiday Roster'!$F$6:$F$205,B16))</f>
        <v/>
      </c>
      <c r="D16" s="17" t="str">
        <f aca="false">IF(B16="","",COUNTIFS('Holiday Roster'!$F$6:$F$205,B16,'Holiday Roster'!$I$6:$I$205,"Comp-Off"))</f>
        <v/>
      </c>
      <c r="E16" s="17" t="str">
        <f aca="false">IF(B16="","",COUNTIFS('Holiday Roster'!$F$6:$F$205,B16,'Holiday Roster'!$I$6:$I$205,"Extra Pay"))</f>
        <v/>
      </c>
    </row>
    <row r="17" customFormat="false" ht="15" hidden="false" customHeight="false" outlineLevel="0" collapsed="false">
      <c r="A17" s="17" t="str">
        <f aca="false">IF(B17="","",9)</f>
        <v/>
      </c>
      <c r="B17" s="7" t="str">
        <f aca="false">IF(Lists!B13="","",Lists!B13)</f>
        <v/>
      </c>
      <c r="C17" s="17" t="str">
        <f aca="false">IF(B17="","",COUNTIF('Holiday Roster'!$F$6:$F$205,B17))</f>
        <v/>
      </c>
      <c r="D17" s="17" t="str">
        <f aca="false">IF(B17="","",COUNTIFS('Holiday Roster'!$F$6:$F$205,B17,'Holiday Roster'!$I$6:$I$205,"Comp-Off"))</f>
        <v/>
      </c>
      <c r="E17" s="17" t="str">
        <f aca="false">IF(B17="","",COUNTIFS('Holiday Roster'!$F$6:$F$205,B17,'Holiday Roster'!$I$6:$I$205,"Extra Pay"))</f>
        <v/>
      </c>
    </row>
    <row r="18" customFormat="false" ht="15" hidden="false" customHeight="false" outlineLevel="0" collapsed="false">
      <c r="A18" s="17" t="str">
        <f aca="false">IF(B18="","",10)</f>
        <v/>
      </c>
      <c r="B18" s="7" t="str">
        <f aca="false">IF(Lists!B14="","",Lists!B14)</f>
        <v/>
      </c>
      <c r="C18" s="17" t="str">
        <f aca="false">IF(B18="","",COUNTIF('Holiday Roster'!$F$6:$F$205,B18))</f>
        <v/>
      </c>
      <c r="D18" s="17" t="str">
        <f aca="false">IF(B18="","",COUNTIFS('Holiday Roster'!$F$6:$F$205,B18,'Holiday Roster'!$I$6:$I$205,"Comp-Off"))</f>
        <v/>
      </c>
      <c r="E18" s="17" t="str">
        <f aca="false">IF(B18="","",COUNTIFS('Holiday Roster'!$F$6:$F$205,B18,'Holiday Roster'!$I$6:$I$205,"Extra Pay"))</f>
        <v/>
      </c>
    </row>
    <row r="19" customFormat="false" ht="15" hidden="false" customHeight="false" outlineLevel="0" collapsed="false">
      <c r="B19" s="18" t="s">
        <v>42</v>
      </c>
      <c r="C19" s="19" t="n">
        <f aca="false">SUM(C9:C18)</f>
        <v>0</v>
      </c>
      <c r="D19" s="19" t="n">
        <f aca="false">SUM(D9:D18)</f>
        <v>0</v>
      </c>
      <c r="E19" s="19" t="n">
        <f aca="false">SUM(E9:E18)</f>
        <v>0</v>
      </c>
    </row>
    <row r="20" customFormat="false" ht="15" hidden="false" customHeight="false" outlineLevel="0" collapsed="false">
      <c r="A20" s="11" t="str">
        <f aca="false">"Roster rows with a location not in the Lists sheet: "&amp;(COUNTA('Holiday Roster'!$B$6:$B$205)-C19)</f>
        <v>Roster rows with a location not in the Lists sheet: 0</v>
      </c>
    </row>
    <row r="22" customFormat="false" ht="15" hidden="false" customHeight="false" outlineLevel="0" collapsed="false">
      <c r="A22" s="3" t="s">
        <v>43</v>
      </c>
      <c r="B22" s="3"/>
      <c r="C22" s="3"/>
      <c r="D22" s="3"/>
      <c r="E22" s="3"/>
      <c r="F22" s="3"/>
    </row>
    <row r="23" customFormat="false" ht="15" hidden="false" customHeight="false" outlineLevel="0" collapsed="false">
      <c r="A23" s="16" t="s">
        <v>37</v>
      </c>
      <c r="B23" s="16" t="s">
        <v>44</v>
      </c>
      <c r="C23" s="16" t="s">
        <v>45</v>
      </c>
      <c r="D23" s="16" t="s">
        <v>46</v>
      </c>
      <c r="E23" s="16" t="s">
        <v>47</v>
      </c>
      <c r="F23" s="16" t="s">
        <v>48</v>
      </c>
    </row>
    <row r="24" customFormat="false" ht="15" hidden="false" customHeight="false" outlineLevel="0" collapsed="false">
      <c r="A24" s="17" t="str">
        <f aca="false">IF(B24="","",1)</f>
        <v/>
      </c>
      <c r="B24" s="20"/>
      <c r="C24" s="7" t="str">
        <f aca="false">IF(B24="","",TEXT(B24,"dddd"))</f>
        <v/>
      </c>
      <c r="D24" s="21"/>
      <c r="E24" s="21"/>
      <c r="F24" s="21"/>
    </row>
    <row r="25" customFormat="false" ht="15" hidden="false" customHeight="false" outlineLevel="0" collapsed="false">
      <c r="A25" s="17" t="str">
        <f aca="false">IF(B25="","",2)</f>
        <v/>
      </c>
      <c r="B25" s="20"/>
      <c r="C25" s="7" t="str">
        <f aca="false">IF(B25="","",TEXT(B25,"dddd"))</f>
        <v/>
      </c>
      <c r="D25" s="21"/>
      <c r="E25" s="21"/>
      <c r="F25" s="21"/>
    </row>
    <row r="26" customFormat="false" ht="15" hidden="false" customHeight="false" outlineLevel="0" collapsed="false">
      <c r="A26" s="17" t="str">
        <f aca="false">IF(B26="","",3)</f>
        <v/>
      </c>
      <c r="B26" s="20"/>
      <c r="C26" s="7" t="str">
        <f aca="false">IF(B26="","",TEXT(B26,"dddd"))</f>
        <v/>
      </c>
      <c r="D26" s="21"/>
      <c r="E26" s="21"/>
      <c r="F26" s="21"/>
    </row>
    <row r="27" customFormat="false" ht="15" hidden="false" customHeight="false" outlineLevel="0" collapsed="false">
      <c r="A27" s="17" t="str">
        <f aca="false">IF(B27="","",4)</f>
        <v/>
      </c>
      <c r="B27" s="20"/>
      <c r="C27" s="7" t="str">
        <f aca="false">IF(B27="","",TEXT(B27,"dddd"))</f>
        <v/>
      </c>
      <c r="D27" s="21"/>
      <c r="E27" s="21"/>
      <c r="F27" s="21"/>
    </row>
    <row r="28" customFormat="false" ht="15" hidden="false" customHeight="false" outlineLevel="0" collapsed="false">
      <c r="A28" s="17" t="str">
        <f aca="false">IF(B28="","",5)</f>
        <v/>
      </c>
      <c r="B28" s="20"/>
      <c r="C28" s="7" t="str">
        <f aca="false">IF(B28="","",TEXT(B28,"dddd"))</f>
        <v/>
      </c>
      <c r="D28" s="21"/>
      <c r="E28" s="21"/>
      <c r="F28" s="21"/>
    </row>
    <row r="29" customFormat="false" ht="15" hidden="false" customHeight="false" outlineLevel="0" collapsed="false">
      <c r="A29" s="17" t="str">
        <f aca="false">IF(B29="","",6)</f>
        <v/>
      </c>
      <c r="B29" s="20"/>
      <c r="C29" s="7" t="str">
        <f aca="false">IF(B29="","",TEXT(B29,"dddd"))</f>
        <v/>
      </c>
      <c r="D29" s="21"/>
      <c r="E29" s="21"/>
      <c r="F29" s="21"/>
    </row>
    <row r="30" customFormat="false" ht="15" hidden="false" customHeight="false" outlineLevel="0" collapsed="false">
      <c r="A30" s="17" t="str">
        <f aca="false">IF(B30="","",7)</f>
        <v/>
      </c>
      <c r="B30" s="20"/>
      <c r="C30" s="7" t="str">
        <f aca="false">IF(B30="","",TEXT(B30,"dddd"))</f>
        <v/>
      </c>
      <c r="D30" s="21"/>
      <c r="E30" s="21"/>
      <c r="F30" s="21"/>
    </row>
    <row r="31" customFormat="false" ht="15" hidden="false" customHeight="false" outlineLevel="0" collapsed="false">
      <c r="A31" s="17" t="str">
        <f aca="false">IF(B31="","",8)</f>
        <v/>
      </c>
      <c r="B31" s="20"/>
      <c r="C31" s="7" t="str">
        <f aca="false">IF(B31="","",TEXT(B31,"dddd"))</f>
        <v/>
      </c>
      <c r="D31" s="21"/>
      <c r="E31" s="21"/>
      <c r="F31" s="21"/>
    </row>
    <row r="32" customFormat="false" ht="15" hidden="false" customHeight="false" outlineLevel="0" collapsed="false">
      <c r="A32" s="17" t="str">
        <f aca="false">IF(B32="","",9)</f>
        <v/>
      </c>
      <c r="B32" s="20"/>
      <c r="C32" s="7" t="str">
        <f aca="false">IF(B32="","",TEXT(B32,"dddd"))</f>
        <v/>
      </c>
      <c r="D32" s="21"/>
      <c r="E32" s="21"/>
      <c r="F32" s="21"/>
    </row>
    <row r="33" customFormat="false" ht="15" hidden="false" customHeight="false" outlineLevel="0" collapsed="false">
      <c r="A33" s="17" t="str">
        <f aca="false">IF(B33="","",10)</f>
        <v/>
      </c>
      <c r="B33" s="20"/>
      <c r="C33" s="7" t="str">
        <f aca="false">IF(B33="","",TEXT(B33,"dddd"))</f>
        <v/>
      </c>
      <c r="D33" s="21"/>
      <c r="E33" s="21"/>
      <c r="F33" s="21"/>
    </row>
    <row r="34" customFormat="false" ht="15" hidden="false" customHeight="false" outlineLevel="0" collapsed="false">
      <c r="A34" s="17" t="str">
        <f aca="false">IF(B34="","",11)</f>
        <v/>
      </c>
      <c r="B34" s="20"/>
      <c r="C34" s="7" t="str">
        <f aca="false">IF(B34="","",TEXT(B34,"dddd"))</f>
        <v/>
      </c>
      <c r="D34" s="21"/>
      <c r="E34" s="21"/>
      <c r="F34" s="21"/>
    </row>
    <row r="35" customFormat="false" ht="15" hidden="false" customHeight="false" outlineLevel="0" collapsed="false">
      <c r="A35" s="17" t="str">
        <f aca="false">IF(B35="","",12)</f>
        <v/>
      </c>
      <c r="B35" s="20"/>
      <c r="C35" s="7" t="str">
        <f aca="false">IF(B35="","",TEXT(B35,"dddd"))</f>
        <v/>
      </c>
      <c r="D35" s="21"/>
      <c r="E35" s="21"/>
      <c r="F35" s="21"/>
    </row>
    <row r="36" customFormat="false" ht="15" hidden="false" customHeight="false" outlineLevel="0" collapsed="false">
      <c r="A36" s="17" t="str">
        <f aca="false">IF(B36="","",13)</f>
        <v/>
      </c>
      <c r="B36" s="20"/>
      <c r="C36" s="7" t="str">
        <f aca="false">IF(B36="","",TEXT(B36,"dddd"))</f>
        <v/>
      </c>
      <c r="D36" s="21"/>
      <c r="E36" s="21"/>
      <c r="F36" s="21"/>
    </row>
    <row r="37" customFormat="false" ht="15" hidden="false" customHeight="false" outlineLevel="0" collapsed="false">
      <c r="A37" s="17" t="str">
        <f aca="false">IF(B37="","",14)</f>
        <v/>
      </c>
      <c r="B37" s="20"/>
      <c r="C37" s="7" t="str">
        <f aca="false">IF(B37="","",TEXT(B37,"dddd"))</f>
        <v/>
      </c>
      <c r="D37" s="21"/>
      <c r="E37" s="21"/>
      <c r="F37" s="21"/>
    </row>
    <row r="38" customFormat="false" ht="15" hidden="false" customHeight="false" outlineLevel="0" collapsed="false">
      <c r="A38" s="17" t="str">
        <f aca="false">IF(B38="","",15)</f>
        <v/>
      </c>
      <c r="B38" s="20"/>
      <c r="C38" s="7" t="str">
        <f aca="false">IF(B38="","",TEXT(B38,"dddd"))</f>
        <v/>
      </c>
      <c r="D38" s="21"/>
      <c r="E38" s="21"/>
      <c r="F38" s="21"/>
    </row>
    <row r="39" customFormat="false" ht="15" hidden="false" customHeight="false" outlineLevel="0" collapsed="false">
      <c r="A39" s="17" t="str">
        <f aca="false">IF(B39="","",16)</f>
        <v/>
      </c>
      <c r="B39" s="20"/>
      <c r="C39" s="7" t="str">
        <f aca="false">IF(B39="","",TEXT(B39,"dddd"))</f>
        <v/>
      </c>
      <c r="D39" s="21"/>
      <c r="E39" s="21"/>
      <c r="F39" s="21"/>
    </row>
    <row r="40" customFormat="false" ht="15" hidden="false" customHeight="false" outlineLevel="0" collapsed="false">
      <c r="A40" s="17" t="str">
        <f aca="false">IF(B40="","",17)</f>
        <v/>
      </c>
      <c r="B40" s="20"/>
      <c r="C40" s="7" t="str">
        <f aca="false">IF(B40="","",TEXT(B40,"dddd"))</f>
        <v/>
      </c>
      <c r="D40" s="21"/>
      <c r="E40" s="21"/>
      <c r="F40" s="21"/>
    </row>
    <row r="41" customFormat="false" ht="15" hidden="false" customHeight="false" outlineLevel="0" collapsed="false">
      <c r="A41" s="17" t="str">
        <f aca="false">IF(B41="","",18)</f>
        <v/>
      </c>
      <c r="B41" s="20"/>
      <c r="C41" s="7" t="str">
        <f aca="false">IF(B41="","",TEXT(B41,"dddd"))</f>
        <v/>
      </c>
      <c r="D41" s="21"/>
      <c r="E41" s="21"/>
      <c r="F41" s="21"/>
    </row>
    <row r="42" customFormat="false" ht="15" hidden="false" customHeight="false" outlineLevel="0" collapsed="false">
      <c r="A42" s="17" t="str">
        <f aca="false">IF(B42="","",19)</f>
        <v/>
      </c>
      <c r="B42" s="20"/>
      <c r="C42" s="7" t="str">
        <f aca="false">IF(B42="","",TEXT(B42,"dddd"))</f>
        <v/>
      </c>
      <c r="D42" s="21"/>
      <c r="E42" s="21"/>
      <c r="F42" s="21"/>
    </row>
    <row r="43" customFormat="false" ht="15" hidden="false" customHeight="false" outlineLevel="0" collapsed="false">
      <c r="A43" s="17" t="str">
        <f aca="false">IF(B43="","",20)</f>
        <v/>
      </c>
      <c r="B43" s="20"/>
      <c r="C43" s="7" t="str">
        <f aca="false">IF(B43="","",TEXT(B43,"dddd"))</f>
        <v/>
      </c>
      <c r="D43" s="21"/>
      <c r="E43" s="21"/>
      <c r="F43" s="21"/>
    </row>
    <row r="44" customFormat="false" ht="15" hidden="false" customHeight="false" outlineLevel="0" collapsed="false">
      <c r="A44" s="17" t="str">
        <f aca="false">IF(B44="","",21)</f>
        <v/>
      </c>
      <c r="B44" s="20"/>
      <c r="C44" s="7" t="str">
        <f aca="false">IF(B44="","",TEXT(B44,"dddd"))</f>
        <v/>
      </c>
      <c r="D44" s="21"/>
      <c r="E44" s="21"/>
      <c r="F44" s="21"/>
    </row>
    <row r="45" customFormat="false" ht="15" hidden="false" customHeight="false" outlineLevel="0" collapsed="false">
      <c r="A45" s="17" t="str">
        <f aca="false">IF(B45="","",22)</f>
        <v/>
      </c>
      <c r="B45" s="20"/>
      <c r="C45" s="7" t="str">
        <f aca="false">IF(B45="","",TEXT(B45,"dddd"))</f>
        <v/>
      </c>
      <c r="D45" s="21"/>
      <c r="E45" s="21"/>
      <c r="F45" s="21"/>
    </row>
    <row r="46" customFormat="false" ht="15" hidden="false" customHeight="false" outlineLevel="0" collapsed="false">
      <c r="A46" s="17" t="str">
        <f aca="false">IF(B46="","",23)</f>
        <v/>
      </c>
      <c r="B46" s="20"/>
      <c r="C46" s="7" t="str">
        <f aca="false">IF(B46="","",TEXT(B46,"dddd"))</f>
        <v/>
      </c>
      <c r="D46" s="21"/>
      <c r="E46" s="21"/>
      <c r="F46" s="21"/>
    </row>
    <row r="47" customFormat="false" ht="15" hidden="false" customHeight="false" outlineLevel="0" collapsed="false">
      <c r="A47" s="17" t="str">
        <f aca="false">IF(B47="","",24)</f>
        <v/>
      </c>
      <c r="B47" s="20"/>
      <c r="C47" s="7" t="str">
        <f aca="false">IF(B47="","",TEXT(B47,"dddd"))</f>
        <v/>
      </c>
      <c r="D47" s="21"/>
      <c r="E47" s="21"/>
      <c r="F47" s="21"/>
    </row>
    <row r="48" customFormat="false" ht="15" hidden="false" customHeight="false" outlineLevel="0" collapsed="false">
      <c r="A48" s="17" t="str">
        <f aca="false">IF(B48="","",25)</f>
        <v/>
      </c>
      <c r="B48" s="20"/>
      <c r="C48" s="7" t="str">
        <f aca="false">IF(B48="","",TEXT(B48,"dddd"))</f>
        <v/>
      </c>
      <c r="D48" s="21"/>
      <c r="E48" s="21"/>
      <c r="F48" s="21"/>
    </row>
    <row r="49" customFormat="false" ht="15" hidden="false" customHeight="false" outlineLevel="0" collapsed="false">
      <c r="A49" s="17" t="str">
        <f aca="false">IF(B49="","",26)</f>
        <v/>
      </c>
      <c r="B49" s="20"/>
      <c r="C49" s="7" t="str">
        <f aca="false">IF(B49="","",TEXT(B49,"dddd"))</f>
        <v/>
      </c>
      <c r="D49" s="21"/>
      <c r="E49" s="21"/>
      <c r="F49" s="21"/>
    </row>
    <row r="50" customFormat="false" ht="15" hidden="false" customHeight="false" outlineLevel="0" collapsed="false">
      <c r="A50" s="17" t="str">
        <f aca="false">IF(B50="","",27)</f>
        <v/>
      </c>
      <c r="B50" s="20"/>
      <c r="C50" s="7" t="str">
        <f aca="false">IF(B50="","",TEXT(B50,"dddd"))</f>
        <v/>
      </c>
      <c r="D50" s="21"/>
      <c r="E50" s="21"/>
      <c r="F50" s="21"/>
    </row>
    <row r="51" customFormat="false" ht="15" hidden="false" customHeight="false" outlineLevel="0" collapsed="false">
      <c r="A51" s="17" t="str">
        <f aca="false">IF(B51="","",28)</f>
        <v/>
      </c>
      <c r="B51" s="20"/>
      <c r="C51" s="7" t="str">
        <f aca="false">IF(B51="","",TEXT(B51,"dddd"))</f>
        <v/>
      </c>
      <c r="D51" s="21"/>
      <c r="E51" s="21"/>
      <c r="F51" s="21"/>
    </row>
    <row r="52" customFormat="false" ht="15" hidden="false" customHeight="false" outlineLevel="0" collapsed="false">
      <c r="A52" s="17" t="str">
        <f aca="false">IF(B52="","",29)</f>
        <v/>
      </c>
      <c r="B52" s="20"/>
      <c r="C52" s="7" t="str">
        <f aca="false">IF(B52="","",TEXT(B52,"dddd"))</f>
        <v/>
      </c>
      <c r="D52" s="21"/>
      <c r="E52" s="21"/>
      <c r="F52" s="21"/>
    </row>
    <row r="53" customFormat="false" ht="15" hidden="false" customHeight="false" outlineLevel="0" collapsed="false">
      <c r="A53" s="17" t="str">
        <f aca="false">IF(B53="","",30)</f>
        <v/>
      </c>
      <c r="B53" s="20"/>
      <c r="C53" s="7" t="str">
        <f aca="false">IF(B53="","",TEXT(B53,"dddd"))</f>
        <v/>
      </c>
      <c r="D53" s="21"/>
      <c r="E53" s="21"/>
      <c r="F53" s="21"/>
    </row>
  </sheetData>
  <mergeCells count="1">
    <mergeCell ref="A22:F22"/>
  </mergeCells>
  <dataValidations count="1">
    <dataValidation allowBlank="true" errorStyle="stop" operator="between" showDropDown="false" showErrorMessage="false" showInputMessage="false" sqref="E24:E53" type="list">
      <formula1>Lists!$E$5:$E$10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J2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24"/>
    <col collapsed="false" customWidth="true" hidden="false" outlineLevel="0" max="4" min="4" style="0" width="16"/>
    <col collapsed="false" customWidth="true" hidden="false" outlineLevel="0" max="5" min="5" style="0" width="18"/>
    <col collapsed="false" customWidth="true" hidden="false" outlineLevel="0" max="6" min="6" style="0" width="14"/>
    <col collapsed="false" customWidth="true" hidden="false" outlineLevel="0" max="7" min="7" style="0" width="20"/>
    <col collapsed="false" customWidth="true" hidden="false" outlineLevel="0" max="9" min="8" style="0" width="14"/>
    <col collapsed="false" customWidth="true" hidden="false" outlineLevel="0" max="10" min="10" style="0" width="26"/>
  </cols>
  <sheetData>
    <row r="1" customFormat="false" ht="19.7" hidden="false" customHeight="false" outlineLevel="0" collapsed="false">
      <c r="A1" s="10" t="str">
        <f aca="false">Settings!$C$5&amp;" - Holiday Working Roster"</f>
        <v>Your Company Name - Holiday Working Roster</v>
      </c>
    </row>
    <row r="2" customFormat="false" ht="15" hidden="false" customHeight="false" outlineLevel="0" collapsed="false">
      <c r="A2" s="12" t="str">
        <f aca="false">"Holiday: "&amp;IF('Holiday Summary'!B3="","(enter on Holiday Summary)",'Holiday Summary'!B3)&amp;"   |   "&amp;IF(ISNUMBER('Holiday Summary'!B4),TEXT('Holiday Summary'!B4,"dd-mmm-yyyy"),"")&amp;" to "&amp;IF(ISNUMBER('Holiday Summary'!B5),TEXT('Holiday Summary'!B5,"dd-mmm-yyyy"),"")&amp;"   |   Days: "&amp;'Holiday Summary'!B6</f>
        <v>Holiday: (enter on Holiday Summary)   |    to    |   Days: </v>
      </c>
    </row>
    <row r="3" customFormat="false" ht="15" hidden="false" customHeight="false" outlineLevel="0" collapsed="false">
      <c r="A3" s="11" t="s">
        <v>49</v>
      </c>
    </row>
    <row r="5" customFormat="false" ht="15" hidden="false" customHeight="false" outlineLevel="0" collapsed="false">
      <c r="A5" s="16" t="s">
        <v>37</v>
      </c>
      <c r="B5" s="16" t="s">
        <v>50</v>
      </c>
      <c r="C5" s="16" t="s">
        <v>51</v>
      </c>
      <c r="D5" s="16" t="s">
        <v>52</v>
      </c>
      <c r="E5" s="16" t="s">
        <v>53</v>
      </c>
      <c r="F5" s="16" t="s">
        <v>38</v>
      </c>
      <c r="G5" s="16" t="s">
        <v>54</v>
      </c>
      <c r="H5" s="16" t="s">
        <v>55</v>
      </c>
      <c r="I5" s="16" t="s">
        <v>56</v>
      </c>
      <c r="J5" s="16" t="s">
        <v>57</v>
      </c>
    </row>
    <row r="6" customFormat="false" ht="15" hidden="false" customHeight="false" outlineLevel="0" collapsed="false">
      <c r="A6" s="17" t="str">
        <f aca="false">IF($B6="","",ROW()-5)</f>
        <v/>
      </c>
      <c r="B6" s="22"/>
      <c r="C6" s="6"/>
      <c r="D6" s="6"/>
      <c r="E6" s="6"/>
      <c r="F6" s="6"/>
      <c r="G6" s="6"/>
      <c r="H6" s="6"/>
      <c r="I6" s="6"/>
      <c r="J6" s="6"/>
    </row>
    <row r="7" customFormat="false" ht="15" hidden="false" customHeight="false" outlineLevel="0" collapsed="false">
      <c r="A7" s="17" t="str">
        <f aca="false">IF($B7="","",ROW()-5)</f>
        <v/>
      </c>
      <c r="B7" s="22"/>
      <c r="C7" s="6"/>
      <c r="D7" s="6"/>
      <c r="E7" s="6"/>
      <c r="F7" s="6"/>
      <c r="G7" s="6"/>
      <c r="H7" s="6"/>
      <c r="I7" s="6"/>
      <c r="J7" s="6"/>
    </row>
    <row r="8" customFormat="false" ht="15" hidden="false" customHeight="false" outlineLevel="0" collapsed="false">
      <c r="A8" s="17" t="str">
        <f aca="false">IF($B8="","",ROW()-5)</f>
        <v/>
      </c>
      <c r="B8" s="22"/>
      <c r="C8" s="6"/>
      <c r="D8" s="6"/>
      <c r="E8" s="6"/>
      <c r="F8" s="6"/>
      <c r="G8" s="6"/>
      <c r="H8" s="6"/>
      <c r="I8" s="6"/>
      <c r="J8" s="6"/>
    </row>
    <row r="9" customFormat="false" ht="15" hidden="false" customHeight="false" outlineLevel="0" collapsed="false">
      <c r="A9" s="17" t="str">
        <f aca="false">IF($B9="","",ROW()-5)</f>
        <v/>
      </c>
      <c r="B9" s="22"/>
      <c r="C9" s="6"/>
      <c r="D9" s="6"/>
      <c r="E9" s="6"/>
      <c r="F9" s="6"/>
      <c r="G9" s="6"/>
      <c r="H9" s="6"/>
      <c r="I9" s="6"/>
      <c r="J9" s="6"/>
    </row>
    <row r="10" customFormat="false" ht="15" hidden="false" customHeight="false" outlineLevel="0" collapsed="false">
      <c r="A10" s="17" t="str">
        <f aca="false">IF($B10="","",ROW()-5)</f>
        <v/>
      </c>
      <c r="B10" s="22"/>
      <c r="C10" s="6"/>
      <c r="D10" s="6"/>
      <c r="E10" s="6"/>
      <c r="F10" s="6"/>
      <c r="G10" s="6"/>
      <c r="H10" s="6"/>
      <c r="I10" s="6"/>
      <c r="J10" s="6"/>
    </row>
    <row r="11" customFormat="false" ht="15" hidden="false" customHeight="false" outlineLevel="0" collapsed="false">
      <c r="A11" s="17" t="str">
        <f aca="false">IF($B11="","",ROW()-5)</f>
        <v/>
      </c>
      <c r="B11" s="22"/>
      <c r="C11" s="6"/>
      <c r="D11" s="6"/>
      <c r="E11" s="6"/>
      <c r="F11" s="6"/>
      <c r="G11" s="6"/>
      <c r="H11" s="6"/>
      <c r="I11" s="6"/>
      <c r="J11" s="6"/>
    </row>
    <row r="12" customFormat="false" ht="15" hidden="false" customHeight="false" outlineLevel="0" collapsed="false">
      <c r="A12" s="17" t="str">
        <f aca="false">IF($B12="","",ROW()-5)</f>
        <v/>
      </c>
      <c r="B12" s="22"/>
      <c r="C12" s="6"/>
      <c r="D12" s="6"/>
      <c r="E12" s="6"/>
      <c r="F12" s="6"/>
      <c r="G12" s="6"/>
      <c r="H12" s="6"/>
      <c r="I12" s="6"/>
      <c r="J12" s="6"/>
    </row>
    <row r="13" customFormat="false" ht="15" hidden="false" customHeight="false" outlineLevel="0" collapsed="false">
      <c r="A13" s="17" t="str">
        <f aca="false">IF($B13="","",ROW()-5)</f>
        <v/>
      </c>
      <c r="B13" s="22"/>
      <c r="C13" s="6"/>
      <c r="D13" s="6"/>
      <c r="E13" s="6"/>
      <c r="F13" s="6"/>
      <c r="G13" s="6"/>
      <c r="H13" s="6"/>
      <c r="I13" s="6"/>
      <c r="J13" s="6"/>
    </row>
    <row r="14" customFormat="false" ht="15" hidden="false" customHeight="false" outlineLevel="0" collapsed="false">
      <c r="A14" s="17" t="str">
        <f aca="false">IF($B14="","",ROW()-5)</f>
        <v/>
      </c>
      <c r="B14" s="22"/>
      <c r="C14" s="6"/>
      <c r="D14" s="6"/>
      <c r="E14" s="6"/>
      <c r="F14" s="6"/>
      <c r="G14" s="6"/>
      <c r="H14" s="6"/>
      <c r="I14" s="6"/>
      <c r="J14" s="6"/>
    </row>
    <row r="15" customFormat="false" ht="15" hidden="false" customHeight="false" outlineLevel="0" collapsed="false">
      <c r="A15" s="17" t="str">
        <f aca="false">IF($B15="","",ROW()-5)</f>
        <v/>
      </c>
      <c r="B15" s="22"/>
      <c r="C15" s="6"/>
      <c r="D15" s="6"/>
      <c r="E15" s="6"/>
      <c r="F15" s="6"/>
      <c r="G15" s="6"/>
      <c r="H15" s="6"/>
      <c r="I15" s="6"/>
      <c r="J15" s="6"/>
    </row>
    <row r="16" customFormat="false" ht="15" hidden="false" customHeight="false" outlineLevel="0" collapsed="false">
      <c r="A16" s="17" t="str">
        <f aca="false">IF($B16="","",ROW()-5)</f>
        <v/>
      </c>
      <c r="B16" s="22"/>
      <c r="C16" s="6"/>
      <c r="D16" s="6"/>
      <c r="E16" s="6"/>
      <c r="F16" s="6"/>
      <c r="G16" s="6"/>
      <c r="H16" s="6"/>
      <c r="I16" s="6"/>
      <c r="J16" s="6"/>
    </row>
    <row r="17" customFormat="false" ht="15" hidden="false" customHeight="false" outlineLevel="0" collapsed="false">
      <c r="A17" s="17" t="str">
        <f aca="false">IF($B17="","",ROW()-5)</f>
        <v/>
      </c>
      <c r="B17" s="22"/>
      <c r="C17" s="6"/>
      <c r="D17" s="6"/>
      <c r="E17" s="6"/>
      <c r="F17" s="6"/>
      <c r="G17" s="6"/>
      <c r="H17" s="6"/>
      <c r="I17" s="6"/>
      <c r="J17" s="6"/>
    </row>
    <row r="18" customFormat="false" ht="15" hidden="false" customHeight="false" outlineLevel="0" collapsed="false">
      <c r="A18" s="17" t="str">
        <f aca="false">IF($B18="","",ROW()-5)</f>
        <v/>
      </c>
      <c r="B18" s="22"/>
      <c r="C18" s="6"/>
      <c r="D18" s="6"/>
      <c r="E18" s="6"/>
      <c r="F18" s="6"/>
      <c r="G18" s="6"/>
      <c r="H18" s="6"/>
      <c r="I18" s="6"/>
      <c r="J18" s="6"/>
    </row>
    <row r="19" customFormat="false" ht="15" hidden="false" customHeight="false" outlineLevel="0" collapsed="false">
      <c r="A19" s="17" t="str">
        <f aca="false">IF($B19="","",ROW()-5)</f>
        <v/>
      </c>
      <c r="B19" s="22"/>
      <c r="C19" s="6"/>
      <c r="D19" s="6"/>
      <c r="E19" s="6"/>
      <c r="F19" s="6"/>
      <c r="G19" s="6"/>
      <c r="H19" s="6"/>
      <c r="I19" s="6"/>
      <c r="J19" s="6"/>
    </row>
    <row r="20" customFormat="false" ht="15" hidden="false" customHeight="false" outlineLevel="0" collapsed="false">
      <c r="A20" s="17" t="str">
        <f aca="false">IF($B20="","",ROW()-5)</f>
        <v/>
      </c>
      <c r="B20" s="22"/>
      <c r="C20" s="6"/>
      <c r="D20" s="6"/>
      <c r="E20" s="6"/>
      <c r="F20" s="6"/>
      <c r="G20" s="6"/>
      <c r="H20" s="6"/>
      <c r="I20" s="6"/>
      <c r="J20" s="6"/>
    </row>
    <row r="21" customFormat="false" ht="15" hidden="false" customHeight="false" outlineLevel="0" collapsed="false">
      <c r="A21" s="17" t="str">
        <f aca="false">IF($B21="","",ROW()-5)</f>
        <v/>
      </c>
      <c r="B21" s="22"/>
      <c r="C21" s="6"/>
      <c r="D21" s="6"/>
      <c r="E21" s="6"/>
      <c r="F21" s="6"/>
      <c r="G21" s="6"/>
      <c r="H21" s="6"/>
      <c r="I21" s="6"/>
      <c r="J21" s="6"/>
    </row>
    <row r="22" customFormat="false" ht="15" hidden="false" customHeight="false" outlineLevel="0" collapsed="false">
      <c r="A22" s="17" t="str">
        <f aca="false">IF($B22="","",ROW()-5)</f>
        <v/>
      </c>
      <c r="B22" s="22"/>
      <c r="C22" s="6"/>
      <c r="D22" s="6"/>
      <c r="E22" s="6"/>
      <c r="F22" s="6"/>
      <c r="G22" s="6"/>
      <c r="H22" s="6"/>
      <c r="I22" s="6"/>
      <c r="J22" s="6"/>
    </row>
    <row r="23" customFormat="false" ht="15" hidden="false" customHeight="false" outlineLevel="0" collapsed="false">
      <c r="A23" s="17" t="str">
        <f aca="false">IF($B23="","",ROW()-5)</f>
        <v/>
      </c>
      <c r="B23" s="22"/>
      <c r="C23" s="6"/>
      <c r="D23" s="6"/>
      <c r="E23" s="6"/>
      <c r="F23" s="6"/>
      <c r="G23" s="6"/>
      <c r="H23" s="6"/>
      <c r="I23" s="6"/>
      <c r="J23" s="6"/>
    </row>
    <row r="24" customFormat="false" ht="15" hidden="false" customHeight="false" outlineLevel="0" collapsed="false">
      <c r="A24" s="17" t="str">
        <f aca="false">IF($B24="","",ROW()-5)</f>
        <v/>
      </c>
      <c r="B24" s="22"/>
      <c r="C24" s="6"/>
      <c r="D24" s="6"/>
      <c r="E24" s="6"/>
      <c r="F24" s="6"/>
      <c r="G24" s="6"/>
      <c r="H24" s="6"/>
      <c r="I24" s="6"/>
      <c r="J24" s="6"/>
    </row>
    <row r="25" customFormat="false" ht="15" hidden="false" customHeight="false" outlineLevel="0" collapsed="false">
      <c r="A25" s="17" t="str">
        <f aca="false">IF($B25="","",ROW()-5)</f>
        <v/>
      </c>
      <c r="B25" s="22"/>
      <c r="C25" s="6"/>
      <c r="D25" s="6"/>
      <c r="E25" s="6"/>
      <c r="F25" s="6"/>
      <c r="G25" s="6"/>
      <c r="H25" s="6"/>
      <c r="I25" s="6"/>
      <c r="J25" s="6"/>
    </row>
    <row r="26" customFormat="false" ht="15" hidden="false" customHeight="false" outlineLevel="0" collapsed="false">
      <c r="A26" s="17" t="str">
        <f aca="false">IF($B26="","",ROW()-5)</f>
        <v/>
      </c>
      <c r="B26" s="22"/>
      <c r="C26" s="6"/>
      <c r="D26" s="6"/>
      <c r="E26" s="6"/>
      <c r="F26" s="6"/>
      <c r="G26" s="6"/>
      <c r="H26" s="6"/>
      <c r="I26" s="6"/>
      <c r="J26" s="6"/>
    </row>
    <row r="27" customFormat="false" ht="15" hidden="false" customHeight="false" outlineLevel="0" collapsed="false">
      <c r="A27" s="17" t="str">
        <f aca="false">IF($B27="","",ROW()-5)</f>
        <v/>
      </c>
      <c r="B27" s="22"/>
      <c r="C27" s="6"/>
      <c r="D27" s="6"/>
      <c r="E27" s="6"/>
      <c r="F27" s="6"/>
      <c r="G27" s="6"/>
      <c r="H27" s="6"/>
      <c r="I27" s="6"/>
      <c r="J27" s="6"/>
    </row>
    <row r="28" customFormat="false" ht="15" hidden="false" customHeight="false" outlineLevel="0" collapsed="false">
      <c r="A28" s="17" t="str">
        <f aca="false">IF($B28="","",ROW()-5)</f>
        <v/>
      </c>
      <c r="B28" s="22"/>
      <c r="C28" s="6"/>
      <c r="D28" s="6"/>
      <c r="E28" s="6"/>
      <c r="F28" s="6"/>
      <c r="G28" s="6"/>
      <c r="H28" s="6"/>
      <c r="I28" s="6"/>
      <c r="J28" s="6"/>
    </row>
    <row r="29" customFormat="false" ht="15" hidden="false" customHeight="false" outlineLevel="0" collapsed="false">
      <c r="A29" s="17" t="str">
        <f aca="false">IF($B29="","",ROW()-5)</f>
        <v/>
      </c>
      <c r="B29" s="22"/>
      <c r="C29" s="6"/>
      <c r="D29" s="6"/>
      <c r="E29" s="6"/>
      <c r="F29" s="6"/>
      <c r="G29" s="6"/>
      <c r="H29" s="6"/>
      <c r="I29" s="6"/>
      <c r="J29" s="6"/>
    </row>
    <row r="30" customFormat="false" ht="15" hidden="false" customHeight="false" outlineLevel="0" collapsed="false">
      <c r="A30" s="17" t="str">
        <f aca="false">IF($B30="","",ROW()-5)</f>
        <v/>
      </c>
      <c r="B30" s="22"/>
      <c r="C30" s="6"/>
      <c r="D30" s="6"/>
      <c r="E30" s="6"/>
      <c r="F30" s="6"/>
      <c r="G30" s="6"/>
      <c r="H30" s="6"/>
      <c r="I30" s="6"/>
      <c r="J30" s="6"/>
    </row>
    <row r="31" customFormat="false" ht="15" hidden="false" customHeight="false" outlineLevel="0" collapsed="false">
      <c r="A31" s="17" t="str">
        <f aca="false">IF($B31="","",ROW()-5)</f>
        <v/>
      </c>
      <c r="B31" s="22"/>
      <c r="C31" s="6"/>
      <c r="D31" s="6"/>
      <c r="E31" s="6"/>
      <c r="F31" s="6"/>
      <c r="G31" s="6"/>
      <c r="H31" s="6"/>
      <c r="I31" s="6"/>
      <c r="J31" s="6"/>
    </row>
    <row r="32" customFormat="false" ht="15" hidden="false" customHeight="false" outlineLevel="0" collapsed="false">
      <c r="A32" s="17" t="str">
        <f aca="false">IF($B32="","",ROW()-5)</f>
        <v/>
      </c>
      <c r="B32" s="22"/>
      <c r="C32" s="6"/>
      <c r="D32" s="6"/>
      <c r="E32" s="6"/>
      <c r="F32" s="6"/>
      <c r="G32" s="6"/>
      <c r="H32" s="6"/>
      <c r="I32" s="6"/>
      <c r="J32" s="6"/>
    </row>
    <row r="33" customFormat="false" ht="15" hidden="false" customHeight="false" outlineLevel="0" collapsed="false">
      <c r="A33" s="17" t="str">
        <f aca="false">IF($B33="","",ROW()-5)</f>
        <v/>
      </c>
      <c r="B33" s="22"/>
      <c r="C33" s="6"/>
      <c r="D33" s="6"/>
      <c r="E33" s="6"/>
      <c r="F33" s="6"/>
      <c r="G33" s="6"/>
      <c r="H33" s="6"/>
      <c r="I33" s="6"/>
      <c r="J33" s="6"/>
    </row>
    <row r="34" customFormat="false" ht="15" hidden="false" customHeight="false" outlineLevel="0" collapsed="false">
      <c r="A34" s="17" t="str">
        <f aca="false">IF($B34="","",ROW()-5)</f>
        <v/>
      </c>
      <c r="B34" s="22"/>
      <c r="C34" s="6"/>
      <c r="D34" s="6"/>
      <c r="E34" s="6"/>
      <c r="F34" s="6"/>
      <c r="G34" s="6"/>
      <c r="H34" s="6"/>
      <c r="I34" s="6"/>
      <c r="J34" s="6"/>
    </row>
    <row r="35" customFormat="false" ht="15" hidden="false" customHeight="false" outlineLevel="0" collapsed="false">
      <c r="A35" s="17" t="str">
        <f aca="false">IF($B35="","",ROW()-5)</f>
        <v/>
      </c>
      <c r="B35" s="22"/>
      <c r="C35" s="6"/>
      <c r="D35" s="6"/>
      <c r="E35" s="6"/>
      <c r="F35" s="6"/>
      <c r="G35" s="6"/>
      <c r="H35" s="6"/>
      <c r="I35" s="6"/>
      <c r="J35" s="6"/>
    </row>
    <row r="36" customFormat="false" ht="15" hidden="false" customHeight="false" outlineLevel="0" collapsed="false">
      <c r="A36" s="17" t="str">
        <f aca="false">IF($B36="","",ROW()-5)</f>
        <v/>
      </c>
      <c r="B36" s="22"/>
      <c r="C36" s="6"/>
      <c r="D36" s="6"/>
      <c r="E36" s="6"/>
      <c r="F36" s="6"/>
      <c r="G36" s="6"/>
      <c r="H36" s="6"/>
      <c r="I36" s="6"/>
      <c r="J36" s="6"/>
    </row>
    <row r="37" customFormat="false" ht="15" hidden="false" customHeight="false" outlineLevel="0" collapsed="false">
      <c r="A37" s="17" t="str">
        <f aca="false">IF($B37="","",ROW()-5)</f>
        <v/>
      </c>
      <c r="B37" s="22"/>
      <c r="C37" s="6"/>
      <c r="D37" s="6"/>
      <c r="E37" s="6"/>
      <c r="F37" s="6"/>
      <c r="G37" s="6"/>
      <c r="H37" s="6"/>
      <c r="I37" s="6"/>
      <c r="J37" s="6"/>
    </row>
    <row r="38" customFormat="false" ht="15" hidden="false" customHeight="false" outlineLevel="0" collapsed="false">
      <c r="A38" s="17" t="str">
        <f aca="false">IF($B38="","",ROW()-5)</f>
        <v/>
      </c>
      <c r="B38" s="22"/>
      <c r="C38" s="6"/>
      <c r="D38" s="6"/>
      <c r="E38" s="6"/>
      <c r="F38" s="6"/>
      <c r="G38" s="6"/>
      <c r="H38" s="6"/>
      <c r="I38" s="6"/>
      <c r="J38" s="6"/>
    </row>
    <row r="39" customFormat="false" ht="15" hidden="false" customHeight="false" outlineLevel="0" collapsed="false">
      <c r="A39" s="17" t="str">
        <f aca="false">IF($B39="","",ROW()-5)</f>
        <v/>
      </c>
      <c r="B39" s="22"/>
      <c r="C39" s="6"/>
      <c r="D39" s="6"/>
      <c r="E39" s="6"/>
      <c r="F39" s="6"/>
      <c r="G39" s="6"/>
      <c r="H39" s="6"/>
      <c r="I39" s="6"/>
      <c r="J39" s="6"/>
    </row>
    <row r="40" customFormat="false" ht="15" hidden="false" customHeight="false" outlineLevel="0" collapsed="false">
      <c r="A40" s="17" t="str">
        <f aca="false">IF($B40="","",ROW()-5)</f>
        <v/>
      </c>
      <c r="B40" s="22"/>
      <c r="C40" s="6"/>
      <c r="D40" s="6"/>
      <c r="E40" s="6"/>
      <c r="F40" s="6"/>
      <c r="G40" s="6"/>
      <c r="H40" s="6"/>
      <c r="I40" s="6"/>
      <c r="J40" s="6"/>
    </row>
    <row r="41" customFormat="false" ht="15" hidden="false" customHeight="false" outlineLevel="0" collapsed="false">
      <c r="A41" s="17" t="str">
        <f aca="false">IF($B41="","",ROW()-5)</f>
        <v/>
      </c>
      <c r="B41" s="22"/>
      <c r="C41" s="6"/>
      <c r="D41" s="6"/>
      <c r="E41" s="6"/>
      <c r="F41" s="6"/>
      <c r="G41" s="6"/>
      <c r="H41" s="6"/>
      <c r="I41" s="6"/>
      <c r="J41" s="6"/>
    </row>
    <row r="42" customFormat="false" ht="15" hidden="false" customHeight="false" outlineLevel="0" collapsed="false">
      <c r="A42" s="17" t="str">
        <f aca="false">IF($B42="","",ROW()-5)</f>
        <v/>
      </c>
      <c r="B42" s="22"/>
      <c r="C42" s="6"/>
      <c r="D42" s="6"/>
      <c r="E42" s="6"/>
      <c r="F42" s="6"/>
      <c r="G42" s="6"/>
      <c r="H42" s="6"/>
      <c r="I42" s="6"/>
      <c r="J42" s="6"/>
    </row>
    <row r="43" customFormat="false" ht="15" hidden="false" customHeight="false" outlineLevel="0" collapsed="false">
      <c r="A43" s="17" t="str">
        <f aca="false">IF($B43="","",ROW()-5)</f>
        <v/>
      </c>
      <c r="B43" s="22"/>
      <c r="C43" s="6"/>
      <c r="D43" s="6"/>
      <c r="E43" s="6"/>
      <c r="F43" s="6"/>
      <c r="G43" s="6"/>
      <c r="H43" s="6"/>
      <c r="I43" s="6"/>
      <c r="J43" s="6"/>
    </row>
    <row r="44" customFormat="false" ht="15" hidden="false" customHeight="false" outlineLevel="0" collapsed="false">
      <c r="A44" s="17" t="str">
        <f aca="false">IF($B44="","",ROW()-5)</f>
        <v/>
      </c>
      <c r="B44" s="22"/>
      <c r="C44" s="6"/>
      <c r="D44" s="6"/>
      <c r="E44" s="6"/>
      <c r="F44" s="6"/>
      <c r="G44" s="6"/>
      <c r="H44" s="6"/>
      <c r="I44" s="6"/>
      <c r="J44" s="6"/>
    </row>
    <row r="45" customFormat="false" ht="15" hidden="false" customHeight="false" outlineLevel="0" collapsed="false">
      <c r="A45" s="17" t="str">
        <f aca="false">IF($B45="","",ROW()-5)</f>
        <v/>
      </c>
      <c r="B45" s="22"/>
      <c r="C45" s="6"/>
      <c r="D45" s="6"/>
      <c r="E45" s="6"/>
      <c r="F45" s="6"/>
      <c r="G45" s="6"/>
      <c r="H45" s="6"/>
      <c r="I45" s="6"/>
      <c r="J45" s="6"/>
    </row>
    <row r="46" customFormat="false" ht="15" hidden="false" customHeight="false" outlineLevel="0" collapsed="false">
      <c r="A46" s="17" t="str">
        <f aca="false">IF($B46="","",ROW()-5)</f>
        <v/>
      </c>
      <c r="B46" s="22"/>
      <c r="C46" s="6"/>
      <c r="D46" s="6"/>
      <c r="E46" s="6"/>
      <c r="F46" s="6"/>
      <c r="G46" s="6"/>
      <c r="H46" s="6"/>
      <c r="I46" s="6"/>
      <c r="J46" s="6"/>
    </row>
    <row r="47" customFormat="false" ht="15" hidden="false" customHeight="false" outlineLevel="0" collapsed="false">
      <c r="A47" s="17" t="str">
        <f aca="false">IF($B47="","",ROW()-5)</f>
        <v/>
      </c>
      <c r="B47" s="22"/>
      <c r="C47" s="6"/>
      <c r="D47" s="6"/>
      <c r="E47" s="6"/>
      <c r="F47" s="6"/>
      <c r="G47" s="6"/>
      <c r="H47" s="6"/>
      <c r="I47" s="6"/>
      <c r="J47" s="6"/>
    </row>
    <row r="48" customFormat="false" ht="15" hidden="false" customHeight="false" outlineLevel="0" collapsed="false">
      <c r="A48" s="17" t="str">
        <f aca="false">IF($B48="","",ROW()-5)</f>
        <v/>
      </c>
      <c r="B48" s="22"/>
      <c r="C48" s="6"/>
      <c r="D48" s="6"/>
      <c r="E48" s="6"/>
      <c r="F48" s="6"/>
      <c r="G48" s="6"/>
      <c r="H48" s="6"/>
      <c r="I48" s="6"/>
      <c r="J48" s="6"/>
    </row>
    <row r="49" customFormat="false" ht="15" hidden="false" customHeight="false" outlineLevel="0" collapsed="false">
      <c r="A49" s="17" t="str">
        <f aca="false">IF($B49="","",ROW()-5)</f>
        <v/>
      </c>
      <c r="B49" s="22"/>
      <c r="C49" s="6"/>
      <c r="D49" s="6"/>
      <c r="E49" s="6"/>
      <c r="F49" s="6"/>
      <c r="G49" s="6"/>
      <c r="H49" s="6"/>
      <c r="I49" s="6"/>
      <c r="J49" s="6"/>
    </row>
    <row r="50" customFormat="false" ht="15" hidden="false" customHeight="false" outlineLevel="0" collapsed="false">
      <c r="A50" s="17" t="str">
        <f aca="false">IF($B50="","",ROW()-5)</f>
        <v/>
      </c>
      <c r="B50" s="22"/>
      <c r="C50" s="6"/>
      <c r="D50" s="6"/>
      <c r="E50" s="6"/>
      <c r="F50" s="6"/>
      <c r="G50" s="6"/>
      <c r="H50" s="6"/>
      <c r="I50" s="6"/>
      <c r="J50" s="6"/>
    </row>
    <row r="51" customFormat="false" ht="15" hidden="false" customHeight="false" outlineLevel="0" collapsed="false">
      <c r="A51" s="17" t="str">
        <f aca="false">IF($B51="","",ROW()-5)</f>
        <v/>
      </c>
      <c r="B51" s="22"/>
      <c r="C51" s="6"/>
      <c r="D51" s="6"/>
      <c r="E51" s="6"/>
      <c r="F51" s="6"/>
      <c r="G51" s="6"/>
      <c r="H51" s="6"/>
      <c r="I51" s="6"/>
      <c r="J51" s="6"/>
    </row>
    <row r="52" customFormat="false" ht="15" hidden="false" customHeight="false" outlineLevel="0" collapsed="false">
      <c r="A52" s="17" t="str">
        <f aca="false">IF($B52="","",ROW()-5)</f>
        <v/>
      </c>
      <c r="B52" s="22"/>
      <c r="C52" s="6"/>
      <c r="D52" s="6"/>
      <c r="E52" s="6"/>
      <c r="F52" s="6"/>
      <c r="G52" s="6"/>
      <c r="H52" s="6"/>
      <c r="I52" s="6"/>
      <c r="J52" s="6"/>
    </row>
    <row r="53" customFormat="false" ht="15" hidden="false" customHeight="false" outlineLevel="0" collapsed="false">
      <c r="A53" s="17" t="str">
        <f aca="false">IF($B53="","",ROW()-5)</f>
        <v/>
      </c>
      <c r="B53" s="22"/>
      <c r="C53" s="6"/>
      <c r="D53" s="6"/>
      <c r="E53" s="6"/>
      <c r="F53" s="6"/>
      <c r="G53" s="6"/>
      <c r="H53" s="6"/>
      <c r="I53" s="6"/>
      <c r="J53" s="6"/>
    </row>
    <row r="54" customFormat="false" ht="15" hidden="false" customHeight="false" outlineLevel="0" collapsed="false">
      <c r="A54" s="17" t="str">
        <f aca="false">IF($B54="","",ROW()-5)</f>
        <v/>
      </c>
      <c r="B54" s="22"/>
      <c r="C54" s="6"/>
      <c r="D54" s="6"/>
      <c r="E54" s="6"/>
      <c r="F54" s="6"/>
      <c r="G54" s="6"/>
      <c r="H54" s="6"/>
      <c r="I54" s="6"/>
      <c r="J54" s="6"/>
    </row>
    <row r="55" customFormat="false" ht="15" hidden="false" customHeight="false" outlineLevel="0" collapsed="false">
      <c r="A55" s="17" t="str">
        <f aca="false">IF($B55="","",ROW()-5)</f>
        <v/>
      </c>
      <c r="B55" s="22"/>
      <c r="C55" s="6"/>
      <c r="D55" s="6"/>
      <c r="E55" s="6"/>
      <c r="F55" s="6"/>
      <c r="G55" s="6"/>
      <c r="H55" s="6"/>
      <c r="I55" s="6"/>
      <c r="J55" s="6"/>
    </row>
    <row r="56" customFormat="false" ht="15" hidden="false" customHeight="false" outlineLevel="0" collapsed="false">
      <c r="A56" s="17" t="str">
        <f aca="false">IF($B56="","",ROW()-5)</f>
        <v/>
      </c>
      <c r="B56" s="22"/>
      <c r="C56" s="6"/>
      <c r="D56" s="6"/>
      <c r="E56" s="6"/>
      <c r="F56" s="6"/>
      <c r="G56" s="6"/>
      <c r="H56" s="6"/>
      <c r="I56" s="6"/>
      <c r="J56" s="6"/>
    </row>
    <row r="57" customFormat="false" ht="15" hidden="false" customHeight="false" outlineLevel="0" collapsed="false">
      <c r="A57" s="17" t="str">
        <f aca="false">IF($B57="","",ROW()-5)</f>
        <v/>
      </c>
      <c r="B57" s="22"/>
      <c r="C57" s="6"/>
      <c r="D57" s="6"/>
      <c r="E57" s="6"/>
      <c r="F57" s="6"/>
      <c r="G57" s="6"/>
      <c r="H57" s="6"/>
      <c r="I57" s="6"/>
      <c r="J57" s="6"/>
    </row>
    <row r="58" customFormat="false" ht="15" hidden="false" customHeight="false" outlineLevel="0" collapsed="false">
      <c r="A58" s="17" t="str">
        <f aca="false">IF($B58="","",ROW()-5)</f>
        <v/>
      </c>
      <c r="B58" s="22"/>
      <c r="C58" s="6"/>
      <c r="D58" s="6"/>
      <c r="E58" s="6"/>
      <c r="F58" s="6"/>
      <c r="G58" s="6"/>
      <c r="H58" s="6"/>
      <c r="I58" s="6"/>
      <c r="J58" s="6"/>
    </row>
    <row r="59" customFormat="false" ht="15" hidden="false" customHeight="false" outlineLevel="0" collapsed="false">
      <c r="A59" s="17" t="str">
        <f aca="false">IF($B59="","",ROW()-5)</f>
        <v/>
      </c>
      <c r="B59" s="22"/>
      <c r="C59" s="6"/>
      <c r="D59" s="6"/>
      <c r="E59" s="6"/>
      <c r="F59" s="6"/>
      <c r="G59" s="6"/>
      <c r="H59" s="6"/>
      <c r="I59" s="6"/>
      <c r="J59" s="6"/>
    </row>
    <row r="60" customFormat="false" ht="15" hidden="false" customHeight="false" outlineLevel="0" collapsed="false">
      <c r="A60" s="17" t="str">
        <f aca="false">IF($B60="","",ROW()-5)</f>
        <v/>
      </c>
      <c r="B60" s="22"/>
      <c r="C60" s="6"/>
      <c r="D60" s="6"/>
      <c r="E60" s="6"/>
      <c r="F60" s="6"/>
      <c r="G60" s="6"/>
      <c r="H60" s="6"/>
      <c r="I60" s="6"/>
      <c r="J60" s="6"/>
    </row>
    <row r="61" customFormat="false" ht="15" hidden="false" customHeight="false" outlineLevel="0" collapsed="false">
      <c r="A61" s="17" t="str">
        <f aca="false">IF($B61="","",ROW()-5)</f>
        <v/>
      </c>
      <c r="B61" s="22"/>
      <c r="C61" s="6"/>
      <c r="D61" s="6"/>
      <c r="E61" s="6"/>
      <c r="F61" s="6"/>
      <c r="G61" s="6"/>
      <c r="H61" s="6"/>
      <c r="I61" s="6"/>
      <c r="J61" s="6"/>
    </row>
    <row r="62" customFormat="false" ht="15" hidden="false" customHeight="false" outlineLevel="0" collapsed="false">
      <c r="A62" s="17" t="str">
        <f aca="false">IF($B62="","",ROW()-5)</f>
        <v/>
      </c>
      <c r="B62" s="22"/>
      <c r="C62" s="6"/>
      <c r="D62" s="6"/>
      <c r="E62" s="6"/>
      <c r="F62" s="6"/>
      <c r="G62" s="6"/>
      <c r="H62" s="6"/>
      <c r="I62" s="6"/>
      <c r="J62" s="6"/>
    </row>
    <row r="63" customFormat="false" ht="15" hidden="false" customHeight="false" outlineLevel="0" collapsed="false">
      <c r="A63" s="17" t="str">
        <f aca="false">IF($B63="","",ROW()-5)</f>
        <v/>
      </c>
      <c r="B63" s="22"/>
      <c r="C63" s="6"/>
      <c r="D63" s="6"/>
      <c r="E63" s="6"/>
      <c r="F63" s="6"/>
      <c r="G63" s="6"/>
      <c r="H63" s="6"/>
      <c r="I63" s="6"/>
      <c r="J63" s="6"/>
    </row>
    <row r="64" customFormat="false" ht="15" hidden="false" customHeight="false" outlineLevel="0" collapsed="false">
      <c r="A64" s="17" t="str">
        <f aca="false">IF($B64="","",ROW()-5)</f>
        <v/>
      </c>
      <c r="B64" s="22"/>
      <c r="C64" s="6"/>
      <c r="D64" s="6"/>
      <c r="E64" s="6"/>
      <c r="F64" s="6"/>
      <c r="G64" s="6"/>
      <c r="H64" s="6"/>
      <c r="I64" s="6"/>
      <c r="J64" s="6"/>
    </row>
    <row r="65" customFormat="false" ht="15" hidden="false" customHeight="false" outlineLevel="0" collapsed="false">
      <c r="A65" s="17" t="str">
        <f aca="false">IF($B65="","",ROW()-5)</f>
        <v/>
      </c>
      <c r="B65" s="22"/>
      <c r="C65" s="6"/>
      <c r="D65" s="6"/>
      <c r="E65" s="6"/>
      <c r="F65" s="6"/>
      <c r="G65" s="6"/>
      <c r="H65" s="6"/>
      <c r="I65" s="6"/>
      <c r="J65" s="6"/>
    </row>
    <row r="66" customFormat="false" ht="15" hidden="false" customHeight="false" outlineLevel="0" collapsed="false">
      <c r="A66" s="17" t="str">
        <f aca="false">IF($B66="","",ROW()-5)</f>
        <v/>
      </c>
      <c r="B66" s="22"/>
      <c r="C66" s="6"/>
      <c r="D66" s="6"/>
      <c r="E66" s="6"/>
      <c r="F66" s="6"/>
      <c r="G66" s="6"/>
      <c r="H66" s="6"/>
      <c r="I66" s="6"/>
      <c r="J66" s="6"/>
    </row>
    <row r="67" customFormat="false" ht="15" hidden="false" customHeight="false" outlineLevel="0" collapsed="false">
      <c r="A67" s="17" t="str">
        <f aca="false">IF($B67="","",ROW()-5)</f>
        <v/>
      </c>
      <c r="B67" s="22"/>
      <c r="C67" s="6"/>
      <c r="D67" s="6"/>
      <c r="E67" s="6"/>
      <c r="F67" s="6"/>
      <c r="G67" s="6"/>
      <c r="H67" s="6"/>
      <c r="I67" s="6"/>
      <c r="J67" s="6"/>
    </row>
    <row r="68" customFormat="false" ht="15" hidden="false" customHeight="false" outlineLevel="0" collapsed="false">
      <c r="A68" s="17" t="str">
        <f aca="false">IF($B68="","",ROW()-5)</f>
        <v/>
      </c>
      <c r="B68" s="22"/>
      <c r="C68" s="6"/>
      <c r="D68" s="6"/>
      <c r="E68" s="6"/>
      <c r="F68" s="6"/>
      <c r="G68" s="6"/>
      <c r="H68" s="6"/>
      <c r="I68" s="6"/>
      <c r="J68" s="6"/>
    </row>
    <row r="69" customFormat="false" ht="15" hidden="false" customHeight="false" outlineLevel="0" collapsed="false">
      <c r="A69" s="17" t="str">
        <f aca="false">IF($B69="","",ROW()-5)</f>
        <v/>
      </c>
      <c r="B69" s="22"/>
      <c r="C69" s="6"/>
      <c r="D69" s="6"/>
      <c r="E69" s="6"/>
      <c r="F69" s="6"/>
      <c r="G69" s="6"/>
      <c r="H69" s="6"/>
      <c r="I69" s="6"/>
      <c r="J69" s="6"/>
    </row>
    <row r="70" customFormat="false" ht="15" hidden="false" customHeight="false" outlineLevel="0" collapsed="false">
      <c r="A70" s="17" t="str">
        <f aca="false">IF($B70="","",ROW()-5)</f>
        <v/>
      </c>
      <c r="B70" s="22"/>
      <c r="C70" s="6"/>
      <c r="D70" s="6"/>
      <c r="E70" s="6"/>
      <c r="F70" s="6"/>
      <c r="G70" s="6"/>
      <c r="H70" s="6"/>
      <c r="I70" s="6"/>
      <c r="J70" s="6"/>
    </row>
    <row r="71" customFormat="false" ht="15" hidden="false" customHeight="false" outlineLevel="0" collapsed="false">
      <c r="A71" s="17" t="str">
        <f aca="false">IF($B71="","",ROW()-5)</f>
        <v/>
      </c>
      <c r="B71" s="22"/>
      <c r="C71" s="6"/>
      <c r="D71" s="6"/>
      <c r="E71" s="6"/>
      <c r="F71" s="6"/>
      <c r="G71" s="6"/>
      <c r="H71" s="6"/>
      <c r="I71" s="6"/>
      <c r="J71" s="6"/>
    </row>
    <row r="72" customFormat="false" ht="15" hidden="false" customHeight="false" outlineLevel="0" collapsed="false">
      <c r="A72" s="17" t="str">
        <f aca="false">IF($B72="","",ROW()-5)</f>
        <v/>
      </c>
      <c r="B72" s="22"/>
      <c r="C72" s="6"/>
      <c r="D72" s="6"/>
      <c r="E72" s="6"/>
      <c r="F72" s="6"/>
      <c r="G72" s="6"/>
      <c r="H72" s="6"/>
      <c r="I72" s="6"/>
      <c r="J72" s="6"/>
    </row>
    <row r="73" customFormat="false" ht="15" hidden="false" customHeight="false" outlineLevel="0" collapsed="false">
      <c r="A73" s="17" t="str">
        <f aca="false">IF($B73="","",ROW()-5)</f>
        <v/>
      </c>
      <c r="B73" s="22"/>
      <c r="C73" s="6"/>
      <c r="D73" s="6"/>
      <c r="E73" s="6"/>
      <c r="F73" s="6"/>
      <c r="G73" s="6"/>
      <c r="H73" s="6"/>
      <c r="I73" s="6"/>
      <c r="J73" s="6"/>
    </row>
    <row r="74" customFormat="false" ht="15" hidden="false" customHeight="false" outlineLevel="0" collapsed="false">
      <c r="A74" s="17" t="str">
        <f aca="false">IF($B74="","",ROW()-5)</f>
        <v/>
      </c>
      <c r="B74" s="22"/>
      <c r="C74" s="6"/>
      <c r="D74" s="6"/>
      <c r="E74" s="6"/>
      <c r="F74" s="6"/>
      <c r="G74" s="6"/>
      <c r="H74" s="6"/>
      <c r="I74" s="6"/>
      <c r="J74" s="6"/>
    </row>
    <row r="75" customFormat="false" ht="15" hidden="false" customHeight="false" outlineLevel="0" collapsed="false">
      <c r="A75" s="17" t="str">
        <f aca="false">IF($B75="","",ROW()-5)</f>
        <v/>
      </c>
      <c r="B75" s="22"/>
      <c r="C75" s="6"/>
      <c r="D75" s="6"/>
      <c r="E75" s="6"/>
      <c r="F75" s="6"/>
      <c r="G75" s="6"/>
      <c r="H75" s="6"/>
      <c r="I75" s="6"/>
      <c r="J75" s="6"/>
    </row>
    <row r="76" customFormat="false" ht="15" hidden="false" customHeight="false" outlineLevel="0" collapsed="false">
      <c r="A76" s="17" t="str">
        <f aca="false">IF($B76="","",ROW()-5)</f>
        <v/>
      </c>
      <c r="B76" s="22"/>
      <c r="C76" s="6"/>
      <c r="D76" s="6"/>
      <c r="E76" s="6"/>
      <c r="F76" s="6"/>
      <c r="G76" s="6"/>
      <c r="H76" s="6"/>
      <c r="I76" s="6"/>
      <c r="J76" s="6"/>
    </row>
    <row r="77" customFormat="false" ht="15" hidden="false" customHeight="false" outlineLevel="0" collapsed="false">
      <c r="A77" s="17" t="str">
        <f aca="false">IF($B77="","",ROW()-5)</f>
        <v/>
      </c>
      <c r="B77" s="22"/>
      <c r="C77" s="6"/>
      <c r="D77" s="6"/>
      <c r="E77" s="6"/>
      <c r="F77" s="6"/>
      <c r="G77" s="6"/>
      <c r="H77" s="6"/>
      <c r="I77" s="6"/>
      <c r="J77" s="6"/>
    </row>
    <row r="78" customFormat="false" ht="15" hidden="false" customHeight="false" outlineLevel="0" collapsed="false">
      <c r="A78" s="17" t="str">
        <f aca="false">IF($B78="","",ROW()-5)</f>
        <v/>
      </c>
      <c r="B78" s="22"/>
      <c r="C78" s="6"/>
      <c r="D78" s="6"/>
      <c r="E78" s="6"/>
      <c r="F78" s="6"/>
      <c r="G78" s="6"/>
      <c r="H78" s="6"/>
      <c r="I78" s="6"/>
      <c r="J78" s="6"/>
    </row>
    <row r="79" customFormat="false" ht="15" hidden="false" customHeight="false" outlineLevel="0" collapsed="false">
      <c r="A79" s="17" t="str">
        <f aca="false">IF($B79="","",ROW()-5)</f>
        <v/>
      </c>
      <c r="B79" s="22"/>
      <c r="C79" s="6"/>
      <c r="D79" s="6"/>
      <c r="E79" s="6"/>
      <c r="F79" s="6"/>
      <c r="G79" s="6"/>
      <c r="H79" s="6"/>
      <c r="I79" s="6"/>
      <c r="J79" s="6"/>
    </row>
    <row r="80" customFormat="false" ht="15" hidden="false" customHeight="false" outlineLevel="0" collapsed="false">
      <c r="A80" s="17" t="str">
        <f aca="false">IF($B80="","",ROW()-5)</f>
        <v/>
      </c>
      <c r="B80" s="22"/>
      <c r="C80" s="6"/>
      <c r="D80" s="6"/>
      <c r="E80" s="6"/>
      <c r="F80" s="6"/>
      <c r="G80" s="6"/>
      <c r="H80" s="6"/>
      <c r="I80" s="6"/>
      <c r="J80" s="6"/>
    </row>
    <row r="81" customFormat="false" ht="15" hidden="false" customHeight="false" outlineLevel="0" collapsed="false">
      <c r="A81" s="17" t="str">
        <f aca="false">IF($B81="","",ROW()-5)</f>
        <v/>
      </c>
      <c r="B81" s="22"/>
      <c r="C81" s="6"/>
      <c r="D81" s="6"/>
      <c r="E81" s="6"/>
      <c r="F81" s="6"/>
      <c r="G81" s="6"/>
      <c r="H81" s="6"/>
      <c r="I81" s="6"/>
      <c r="J81" s="6"/>
    </row>
    <row r="82" customFormat="false" ht="15" hidden="false" customHeight="false" outlineLevel="0" collapsed="false">
      <c r="A82" s="17" t="str">
        <f aca="false">IF($B82="","",ROW()-5)</f>
        <v/>
      </c>
      <c r="B82" s="22"/>
      <c r="C82" s="6"/>
      <c r="D82" s="6"/>
      <c r="E82" s="6"/>
      <c r="F82" s="6"/>
      <c r="G82" s="6"/>
      <c r="H82" s="6"/>
      <c r="I82" s="6"/>
      <c r="J82" s="6"/>
    </row>
    <row r="83" customFormat="false" ht="15" hidden="false" customHeight="false" outlineLevel="0" collapsed="false">
      <c r="A83" s="17" t="str">
        <f aca="false">IF($B83="","",ROW()-5)</f>
        <v/>
      </c>
      <c r="B83" s="22"/>
      <c r="C83" s="6"/>
      <c r="D83" s="6"/>
      <c r="E83" s="6"/>
      <c r="F83" s="6"/>
      <c r="G83" s="6"/>
      <c r="H83" s="6"/>
      <c r="I83" s="6"/>
      <c r="J83" s="6"/>
    </row>
    <row r="84" customFormat="false" ht="15" hidden="false" customHeight="false" outlineLevel="0" collapsed="false">
      <c r="A84" s="17" t="str">
        <f aca="false">IF($B84="","",ROW()-5)</f>
        <v/>
      </c>
      <c r="B84" s="22"/>
      <c r="C84" s="6"/>
      <c r="D84" s="6"/>
      <c r="E84" s="6"/>
      <c r="F84" s="6"/>
      <c r="G84" s="6"/>
      <c r="H84" s="6"/>
      <c r="I84" s="6"/>
      <c r="J84" s="6"/>
    </row>
    <row r="85" customFormat="false" ht="15" hidden="false" customHeight="false" outlineLevel="0" collapsed="false">
      <c r="A85" s="17" t="str">
        <f aca="false">IF($B85="","",ROW()-5)</f>
        <v/>
      </c>
      <c r="B85" s="22"/>
      <c r="C85" s="6"/>
      <c r="D85" s="6"/>
      <c r="E85" s="6"/>
      <c r="F85" s="6"/>
      <c r="G85" s="6"/>
      <c r="H85" s="6"/>
      <c r="I85" s="6"/>
      <c r="J85" s="6"/>
    </row>
    <row r="86" customFormat="false" ht="15" hidden="false" customHeight="false" outlineLevel="0" collapsed="false">
      <c r="A86" s="17" t="str">
        <f aca="false">IF($B86="","",ROW()-5)</f>
        <v/>
      </c>
      <c r="B86" s="22"/>
      <c r="C86" s="6"/>
      <c r="D86" s="6"/>
      <c r="E86" s="6"/>
      <c r="F86" s="6"/>
      <c r="G86" s="6"/>
      <c r="H86" s="6"/>
      <c r="I86" s="6"/>
      <c r="J86" s="6"/>
    </row>
    <row r="87" customFormat="false" ht="15" hidden="false" customHeight="false" outlineLevel="0" collapsed="false">
      <c r="A87" s="17" t="str">
        <f aca="false">IF($B87="","",ROW()-5)</f>
        <v/>
      </c>
      <c r="B87" s="22"/>
      <c r="C87" s="6"/>
      <c r="D87" s="6"/>
      <c r="E87" s="6"/>
      <c r="F87" s="6"/>
      <c r="G87" s="6"/>
      <c r="H87" s="6"/>
      <c r="I87" s="6"/>
      <c r="J87" s="6"/>
    </row>
    <row r="88" customFormat="false" ht="15" hidden="false" customHeight="false" outlineLevel="0" collapsed="false">
      <c r="A88" s="17" t="str">
        <f aca="false">IF($B88="","",ROW()-5)</f>
        <v/>
      </c>
      <c r="B88" s="22"/>
      <c r="C88" s="6"/>
      <c r="D88" s="6"/>
      <c r="E88" s="6"/>
      <c r="F88" s="6"/>
      <c r="G88" s="6"/>
      <c r="H88" s="6"/>
      <c r="I88" s="6"/>
      <c r="J88" s="6"/>
    </row>
    <row r="89" customFormat="false" ht="15" hidden="false" customHeight="false" outlineLevel="0" collapsed="false">
      <c r="A89" s="17" t="str">
        <f aca="false">IF($B89="","",ROW()-5)</f>
        <v/>
      </c>
      <c r="B89" s="22"/>
      <c r="C89" s="6"/>
      <c r="D89" s="6"/>
      <c r="E89" s="6"/>
      <c r="F89" s="6"/>
      <c r="G89" s="6"/>
      <c r="H89" s="6"/>
      <c r="I89" s="6"/>
      <c r="J89" s="6"/>
    </row>
    <row r="90" customFormat="false" ht="15" hidden="false" customHeight="false" outlineLevel="0" collapsed="false">
      <c r="A90" s="17" t="str">
        <f aca="false">IF($B90="","",ROW()-5)</f>
        <v/>
      </c>
      <c r="B90" s="22"/>
      <c r="C90" s="6"/>
      <c r="D90" s="6"/>
      <c r="E90" s="6"/>
      <c r="F90" s="6"/>
      <c r="G90" s="6"/>
      <c r="H90" s="6"/>
      <c r="I90" s="6"/>
      <c r="J90" s="6"/>
    </row>
    <row r="91" customFormat="false" ht="15" hidden="false" customHeight="false" outlineLevel="0" collapsed="false">
      <c r="A91" s="17" t="str">
        <f aca="false">IF($B91="","",ROW()-5)</f>
        <v/>
      </c>
      <c r="B91" s="22"/>
      <c r="C91" s="6"/>
      <c r="D91" s="6"/>
      <c r="E91" s="6"/>
      <c r="F91" s="6"/>
      <c r="G91" s="6"/>
      <c r="H91" s="6"/>
      <c r="I91" s="6"/>
      <c r="J91" s="6"/>
    </row>
    <row r="92" customFormat="false" ht="15" hidden="false" customHeight="false" outlineLevel="0" collapsed="false">
      <c r="A92" s="17" t="str">
        <f aca="false">IF($B92="","",ROW()-5)</f>
        <v/>
      </c>
      <c r="B92" s="22"/>
      <c r="C92" s="6"/>
      <c r="D92" s="6"/>
      <c r="E92" s="6"/>
      <c r="F92" s="6"/>
      <c r="G92" s="6"/>
      <c r="H92" s="6"/>
      <c r="I92" s="6"/>
      <c r="J92" s="6"/>
    </row>
    <row r="93" customFormat="false" ht="15" hidden="false" customHeight="false" outlineLevel="0" collapsed="false">
      <c r="A93" s="17" t="str">
        <f aca="false">IF($B93="","",ROW()-5)</f>
        <v/>
      </c>
      <c r="B93" s="22"/>
      <c r="C93" s="6"/>
      <c r="D93" s="6"/>
      <c r="E93" s="6"/>
      <c r="F93" s="6"/>
      <c r="G93" s="6"/>
      <c r="H93" s="6"/>
      <c r="I93" s="6"/>
      <c r="J93" s="6"/>
    </row>
    <row r="94" customFormat="false" ht="15" hidden="false" customHeight="false" outlineLevel="0" collapsed="false">
      <c r="A94" s="17" t="str">
        <f aca="false">IF($B94="","",ROW()-5)</f>
        <v/>
      </c>
      <c r="B94" s="22"/>
      <c r="C94" s="6"/>
      <c r="D94" s="6"/>
      <c r="E94" s="6"/>
      <c r="F94" s="6"/>
      <c r="G94" s="6"/>
      <c r="H94" s="6"/>
      <c r="I94" s="6"/>
      <c r="J94" s="6"/>
    </row>
    <row r="95" customFormat="false" ht="15" hidden="false" customHeight="false" outlineLevel="0" collapsed="false">
      <c r="A95" s="17" t="str">
        <f aca="false">IF($B95="","",ROW()-5)</f>
        <v/>
      </c>
      <c r="B95" s="22"/>
      <c r="C95" s="6"/>
      <c r="D95" s="6"/>
      <c r="E95" s="6"/>
      <c r="F95" s="6"/>
      <c r="G95" s="6"/>
      <c r="H95" s="6"/>
      <c r="I95" s="6"/>
      <c r="J95" s="6"/>
    </row>
    <row r="96" customFormat="false" ht="15" hidden="false" customHeight="false" outlineLevel="0" collapsed="false">
      <c r="A96" s="17" t="str">
        <f aca="false">IF($B96="","",ROW()-5)</f>
        <v/>
      </c>
      <c r="B96" s="22"/>
      <c r="C96" s="6"/>
      <c r="D96" s="6"/>
      <c r="E96" s="6"/>
      <c r="F96" s="6"/>
      <c r="G96" s="6"/>
      <c r="H96" s="6"/>
      <c r="I96" s="6"/>
      <c r="J96" s="6"/>
    </row>
    <row r="97" customFormat="false" ht="15" hidden="false" customHeight="false" outlineLevel="0" collapsed="false">
      <c r="A97" s="17" t="str">
        <f aca="false">IF($B97="","",ROW()-5)</f>
        <v/>
      </c>
      <c r="B97" s="22"/>
      <c r="C97" s="6"/>
      <c r="D97" s="6"/>
      <c r="E97" s="6"/>
      <c r="F97" s="6"/>
      <c r="G97" s="6"/>
      <c r="H97" s="6"/>
      <c r="I97" s="6"/>
      <c r="J97" s="6"/>
    </row>
    <row r="98" customFormat="false" ht="15" hidden="false" customHeight="false" outlineLevel="0" collapsed="false">
      <c r="A98" s="17" t="str">
        <f aca="false">IF($B98="","",ROW()-5)</f>
        <v/>
      </c>
      <c r="B98" s="22"/>
      <c r="C98" s="6"/>
      <c r="D98" s="6"/>
      <c r="E98" s="6"/>
      <c r="F98" s="6"/>
      <c r="G98" s="6"/>
      <c r="H98" s="6"/>
      <c r="I98" s="6"/>
      <c r="J98" s="6"/>
    </row>
    <row r="99" customFormat="false" ht="15" hidden="false" customHeight="false" outlineLevel="0" collapsed="false">
      <c r="A99" s="17" t="str">
        <f aca="false">IF($B99="","",ROW()-5)</f>
        <v/>
      </c>
      <c r="B99" s="22"/>
      <c r="C99" s="6"/>
      <c r="D99" s="6"/>
      <c r="E99" s="6"/>
      <c r="F99" s="6"/>
      <c r="G99" s="6"/>
      <c r="H99" s="6"/>
      <c r="I99" s="6"/>
      <c r="J99" s="6"/>
    </row>
    <row r="100" customFormat="false" ht="15" hidden="false" customHeight="false" outlineLevel="0" collapsed="false">
      <c r="A100" s="17" t="str">
        <f aca="false">IF($B100="","",ROW()-5)</f>
        <v/>
      </c>
      <c r="B100" s="22"/>
      <c r="C100" s="6"/>
      <c r="D100" s="6"/>
      <c r="E100" s="6"/>
      <c r="F100" s="6"/>
      <c r="G100" s="6"/>
      <c r="H100" s="6"/>
      <c r="I100" s="6"/>
      <c r="J100" s="6"/>
    </row>
    <row r="101" customFormat="false" ht="15" hidden="false" customHeight="false" outlineLevel="0" collapsed="false">
      <c r="A101" s="17" t="str">
        <f aca="false">IF($B101="","",ROW()-5)</f>
        <v/>
      </c>
      <c r="B101" s="22"/>
      <c r="C101" s="6"/>
      <c r="D101" s="6"/>
      <c r="E101" s="6"/>
      <c r="F101" s="6"/>
      <c r="G101" s="6"/>
      <c r="H101" s="6"/>
      <c r="I101" s="6"/>
      <c r="J101" s="6"/>
    </row>
    <row r="102" customFormat="false" ht="15" hidden="false" customHeight="false" outlineLevel="0" collapsed="false">
      <c r="A102" s="17" t="str">
        <f aca="false">IF($B102="","",ROW()-5)</f>
        <v/>
      </c>
      <c r="B102" s="22"/>
      <c r="C102" s="6"/>
      <c r="D102" s="6"/>
      <c r="E102" s="6"/>
      <c r="F102" s="6"/>
      <c r="G102" s="6"/>
      <c r="H102" s="6"/>
      <c r="I102" s="6"/>
      <c r="J102" s="6"/>
    </row>
    <row r="103" customFormat="false" ht="15" hidden="false" customHeight="false" outlineLevel="0" collapsed="false">
      <c r="A103" s="17" t="str">
        <f aca="false">IF($B103="","",ROW()-5)</f>
        <v/>
      </c>
      <c r="B103" s="22"/>
      <c r="C103" s="6"/>
      <c r="D103" s="6"/>
      <c r="E103" s="6"/>
      <c r="F103" s="6"/>
      <c r="G103" s="6"/>
      <c r="H103" s="6"/>
      <c r="I103" s="6"/>
      <c r="J103" s="6"/>
    </row>
    <row r="104" customFormat="false" ht="15" hidden="false" customHeight="false" outlineLevel="0" collapsed="false">
      <c r="A104" s="17" t="str">
        <f aca="false">IF($B104="","",ROW()-5)</f>
        <v/>
      </c>
      <c r="B104" s="22"/>
      <c r="C104" s="6"/>
      <c r="D104" s="6"/>
      <c r="E104" s="6"/>
      <c r="F104" s="6"/>
      <c r="G104" s="6"/>
      <c r="H104" s="6"/>
      <c r="I104" s="6"/>
      <c r="J104" s="6"/>
    </row>
    <row r="105" customFormat="false" ht="15" hidden="false" customHeight="false" outlineLevel="0" collapsed="false">
      <c r="A105" s="17" t="str">
        <f aca="false">IF($B105="","",ROW()-5)</f>
        <v/>
      </c>
      <c r="B105" s="22"/>
      <c r="C105" s="6"/>
      <c r="D105" s="6"/>
      <c r="E105" s="6"/>
      <c r="F105" s="6"/>
      <c r="G105" s="6"/>
      <c r="H105" s="6"/>
      <c r="I105" s="6"/>
      <c r="J105" s="6"/>
    </row>
    <row r="106" customFormat="false" ht="15" hidden="false" customHeight="false" outlineLevel="0" collapsed="false">
      <c r="A106" s="17" t="str">
        <f aca="false">IF($B106="","",ROW()-5)</f>
        <v/>
      </c>
      <c r="B106" s="22"/>
      <c r="C106" s="6"/>
      <c r="D106" s="6"/>
      <c r="E106" s="6"/>
      <c r="F106" s="6"/>
      <c r="G106" s="6"/>
      <c r="H106" s="6"/>
      <c r="I106" s="6"/>
      <c r="J106" s="6"/>
    </row>
    <row r="107" customFormat="false" ht="15" hidden="false" customHeight="false" outlineLevel="0" collapsed="false">
      <c r="A107" s="17" t="str">
        <f aca="false">IF($B107="","",ROW()-5)</f>
        <v/>
      </c>
      <c r="B107" s="22"/>
      <c r="C107" s="6"/>
      <c r="D107" s="6"/>
      <c r="E107" s="6"/>
      <c r="F107" s="6"/>
      <c r="G107" s="6"/>
      <c r="H107" s="6"/>
      <c r="I107" s="6"/>
      <c r="J107" s="6"/>
    </row>
    <row r="108" customFormat="false" ht="15" hidden="false" customHeight="false" outlineLevel="0" collapsed="false">
      <c r="A108" s="17" t="str">
        <f aca="false">IF($B108="","",ROW()-5)</f>
        <v/>
      </c>
      <c r="B108" s="22"/>
      <c r="C108" s="6"/>
      <c r="D108" s="6"/>
      <c r="E108" s="6"/>
      <c r="F108" s="6"/>
      <c r="G108" s="6"/>
      <c r="H108" s="6"/>
      <c r="I108" s="6"/>
      <c r="J108" s="6"/>
    </row>
    <row r="109" customFormat="false" ht="15" hidden="false" customHeight="false" outlineLevel="0" collapsed="false">
      <c r="A109" s="17" t="str">
        <f aca="false">IF($B109="","",ROW()-5)</f>
        <v/>
      </c>
      <c r="B109" s="22"/>
      <c r="C109" s="6"/>
      <c r="D109" s="6"/>
      <c r="E109" s="6"/>
      <c r="F109" s="6"/>
      <c r="G109" s="6"/>
      <c r="H109" s="6"/>
      <c r="I109" s="6"/>
      <c r="J109" s="6"/>
    </row>
    <row r="110" customFormat="false" ht="15" hidden="false" customHeight="false" outlineLevel="0" collapsed="false">
      <c r="A110" s="17" t="str">
        <f aca="false">IF($B110="","",ROW()-5)</f>
        <v/>
      </c>
      <c r="B110" s="22"/>
      <c r="C110" s="6"/>
      <c r="D110" s="6"/>
      <c r="E110" s="6"/>
      <c r="F110" s="6"/>
      <c r="G110" s="6"/>
      <c r="H110" s="6"/>
      <c r="I110" s="6"/>
      <c r="J110" s="6"/>
    </row>
    <row r="111" customFormat="false" ht="15" hidden="false" customHeight="false" outlineLevel="0" collapsed="false">
      <c r="A111" s="17" t="str">
        <f aca="false">IF($B111="","",ROW()-5)</f>
        <v/>
      </c>
      <c r="B111" s="22"/>
      <c r="C111" s="6"/>
      <c r="D111" s="6"/>
      <c r="E111" s="6"/>
      <c r="F111" s="6"/>
      <c r="G111" s="6"/>
      <c r="H111" s="6"/>
      <c r="I111" s="6"/>
      <c r="J111" s="6"/>
    </row>
    <row r="112" customFormat="false" ht="15" hidden="false" customHeight="false" outlineLevel="0" collapsed="false">
      <c r="A112" s="17" t="str">
        <f aca="false">IF($B112="","",ROW()-5)</f>
        <v/>
      </c>
      <c r="B112" s="22"/>
      <c r="C112" s="6"/>
      <c r="D112" s="6"/>
      <c r="E112" s="6"/>
      <c r="F112" s="6"/>
      <c r="G112" s="6"/>
      <c r="H112" s="6"/>
      <c r="I112" s="6"/>
      <c r="J112" s="6"/>
    </row>
    <row r="113" customFormat="false" ht="15" hidden="false" customHeight="false" outlineLevel="0" collapsed="false">
      <c r="A113" s="17" t="str">
        <f aca="false">IF($B113="","",ROW()-5)</f>
        <v/>
      </c>
      <c r="B113" s="22"/>
      <c r="C113" s="6"/>
      <c r="D113" s="6"/>
      <c r="E113" s="6"/>
      <c r="F113" s="6"/>
      <c r="G113" s="6"/>
      <c r="H113" s="6"/>
      <c r="I113" s="6"/>
      <c r="J113" s="6"/>
    </row>
    <row r="114" customFormat="false" ht="15" hidden="false" customHeight="false" outlineLevel="0" collapsed="false">
      <c r="A114" s="17" t="str">
        <f aca="false">IF($B114="","",ROW()-5)</f>
        <v/>
      </c>
      <c r="B114" s="22"/>
      <c r="C114" s="6"/>
      <c r="D114" s="6"/>
      <c r="E114" s="6"/>
      <c r="F114" s="6"/>
      <c r="G114" s="6"/>
      <c r="H114" s="6"/>
      <c r="I114" s="6"/>
      <c r="J114" s="6"/>
    </row>
    <row r="115" customFormat="false" ht="15" hidden="false" customHeight="false" outlineLevel="0" collapsed="false">
      <c r="A115" s="17" t="str">
        <f aca="false">IF($B115="","",ROW()-5)</f>
        <v/>
      </c>
      <c r="B115" s="22"/>
      <c r="C115" s="6"/>
      <c r="D115" s="6"/>
      <c r="E115" s="6"/>
      <c r="F115" s="6"/>
      <c r="G115" s="6"/>
      <c r="H115" s="6"/>
      <c r="I115" s="6"/>
      <c r="J115" s="6"/>
    </row>
    <row r="116" customFormat="false" ht="15" hidden="false" customHeight="false" outlineLevel="0" collapsed="false">
      <c r="A116" s="17" t="str">
        <f aca="false">IF($B116="","",ROW()-5)</f>
        <v/>
      </c>
      <c r="B116" s="22"/>
      <c r="C116" s="6"/>
      <c r="D116" s="6"/>
      <c r="E116" s="6"/>
      <c r="F116" s="6"/>
      <c r="G116" s="6"/>
      <c r="H116" s="6"/>
      <c r="I116" s="6"/>
      <c r="J116" s="6"/>
    </row>
    <row r="117" customFormat="false" ht="15" hidden="false" customHeight="false" outlineLevel="0" collapsed="false">
      <c r="A117" s="17" t="str">
        <f aca="false">IF($B117="","",ROW()-5)</f>
        <v/>
      </c>
      <c r="B117" s="22"/>
      <c r="C117" s="6"/>
      <c r="D117" s="6"/>
      <c r="E117" s="6"/>
      <c r="F117" s="6"/>
      <c r="G117" s="6"/>
      <c r="H117" s="6"/>
      <c r="I117" s="6"/>
      <c r="J117" s="6"/>
    </row>
    <row r="118" customFormat="false" ht="15" hidden="false" customHeight="false" outlineLevel="0" collapsed="false">
      <c r="A118" s="17" t="str">
        <f aca="false">IF($B118="","",ROW()-5)</f>
        <v/>
      </c>
      <c r="B118" s="22"/>
      <c r="C118" s="6"/>
      <c r="D118" s="6"/>
      <c r="E118" s="6"/>
      <c r="F118" s="6"/>
      <c r="G118" s="6"/>
      <c r="H118" s="6"/>
      <c r="I118" s="6"/>
      <c r="J118" s="6"/>
    </row>
    <row r="119" customFormat="false" ht="15" hidden="false" customHeight="false" outlineLevel="0" collapsed="false">
      <c r="A119" s="17" t="str">
        <f aca="false">IF($B119="","",ROW()-5)</f>
        <v/>
      </c>
      <c r="B119" s="22"/>
      <c r="C119" s="6"/>
      <c r="D119" s="6"/>
      <c r="E119" s="6"/>
      <c r="F119" s="6"/>
      <c r="G119" s="6"/>
      <c r="H119" s="6"/>
      <c r="I119" s="6"/>
      <c r="J119" s="6"/>
    </row>
    <row r="120" customFormat="false" ht="15" hidden="false" customHeight="false" outlineLevel="0" collapsed="false">
      <c r="A120" s="17" t="str">
        <f aca="false">IF($B120="","",ROW()-5)</f>
        <v/>
      </c>
      <c r="B120" s="22"/>
      <c r="C120" s="6"/>
      <c r="D120" s="6"/>
      <c r="E120" s="6"/>
      <c r="F120" s="6"/>
      <c r="G120" s="6"/>
      <c r="H120" s="6"/>
      <c r="I120" s="6"/>
      <c r="J120" s="6"/>
    </row>
    <row r="121" customFormat="false" ht="15" hidden="false" customHeight="false" outlineLevel="0" collapsed="false">
      <c r="A121" s="17" t="str">
        <f aca="false">IF($B121="","",ROW()-5)</f>
        <v/>
      </c>
      <c r="B121" s="22"/>
      <c r="C121" s="6"/>
      <c r="D121" s="6"/>
      <c r="E121" s="6"/>
      <c r="F121" s="6"/>
      <c r="G121" s="6"/>
      <c r="H121" s="6"/>
      <c r="I121" s="6"/>
      <c r="J121" s="6"/>
    </row>
    <row r="122" customFormat="false" ht="15" hidden="false" customHeight="false" outlineLevel="0" collapsed="false">
      <c r="A122" s="17" t="str">
        <f aca="false">IF($B122="","",ROW()-5)</f>
        <v/>
      </c>
      <c r="B122" s="22"/>
      <c r="C122" s="6"/>
      <c r="D122" s="6"/>
      <c r="E122" s="6"/>
      <c r="F122" s="6"/>
      <c r="G122" s="6"/>
      <c r="H122" s="6"/>
      <c r="I122" s="6"/>
      <c r="J122" s="6"/>
    </row>
    <row r="123" customFormat="false" ht="15" hidden="false" customHeight="false" outlineLevel="0" collapsed="false">
      <c r="A123" s="17" t="str">
        <f aca="false">IF($B123="","",ROW()-5)</f>
        <v/>
      </c>
      <c r="B123" s="22"/>
      <c r="C123" s="6"/>
      <c r="D123" s="6"/>
      <c r="E123" s="6"/>
      <c r="F123" s="6"/>
      <c r="G123" s="6"/>
      <c r="H123" s="6"/>
      <c r="I123" s="6"/>
      <c r="J123" s="6"/>
    </row>
    <row r="124" customFormat="false" ht="15" hidden="false" customHeight="false" outlineLevel="0" collapsed="false">
      <c r="A124" s="17" t="str">
        <f aca="false">IF($B124="","",ROW()-5)</f>
        <v/>
      </c>
      <c r="B124" s="22"/>
      <c r="C124" s="6"/>
      <c r="D124" s="6"/>
      <c r="E124" s="6"/>
      <c r="F124" s="6"/>
      <c r="G124" s="6"/>
      <c r="H124" s="6"/>
      <c r="I124" s="6"/>
      <c r="J124" s="6"/>
    </row>
    <row r="125" customFormat="false" ht="15" hidden="false" customHeight="false" outlineLevel="0" collapsed="false">
      <c r="A125" s="17" t="str">
        <f aca="false">IF($B125="","",ROW()-5)</f>
        <v/>
      </c>
      <c r="B125" s="22"/>
      <c r="C125" s="6"/>
      <c r="D125" s="6"/>
      <c r="E125" s="6"/>
      <c r="F125" s="6"/>
      <c r="G125" s="6"/>
      <c r="H125" s="6"/>
      <c r="I125" s="6"/>
      <c r="J125" s="6"/>
    </row>
    <row r="126" customFormat="false" ht="15" hidden="false" customHeight="false" outlineLevel="0" collapsed="false">
      <c r="A126" s="17" t="str">
        <f aca="false">IF($B126="","",ROW()-5)</f>
        <v/>
      </c>
      <c r="B126" s="22"/>
      <c r="C126" s="6"/>
      <c r="D126" s="6"/>
      <c r="E126" s="6"/>
      <c r="F126" s="6"/>
      <c r="G126" s="6"/>
      <c r="H126" s="6"/>
      <c r="I126" s="6"/>
      <c r="J126" s="6"/>
    </row>
    <row r="127" customFormat="false" ht="15" hidden="false" customHeight="false" outlineLevel="0" collapsed="false">
      <c r="A127" s="17" t="str">
        <f aca="false">IF($B127="","",ROW()-5)</f>
        <v/>
      </c>
      <c r="B127" s="22"/>
      <c r="C127" s="6"/>
      <c r="D127" s="6"/>
      <c r="E127" s="6"/>
      <c r="F127" s="6"/>
      <c r="G127" s="6"/>
      <c r="H127" s="6"/>
      <c r="I127" s="6"/>
      <c r="J127" s="6"/>
    </row>
    <row r="128" customFormat="false" ht="15" hidden="false" customHeight="false" outlineLevel="0" collapsed="false">
      <c r="A128" s="17" t="str">
        <f aca="false">IF($B128="","",ROW()-5)</f>
        <v/>
      </c>
      <c r="B128" s="22"/>
      <c r="C128" s="6"/>
      <c r="D128" s="6"/>
      <c r="E128" s="6"/>
      <c r="F128" s="6"/>
      <c r="G128" s="6"/>
      <c r="H128" s="6"/>
      <c r="I128" s="6"/>
      <c r="J128" s="6"/>
    </row>
    <row r="129" customFormat="false" ht="15" hidden="false" customHeight="false" outlineLevel="0" collapsed="false">
      <c r="A129" s="17" t="str">
        <f aca="false">IF($B129="","",ROW()-5)</f>
        <v/>
      </c>
      <c r="B129" s="22"/>
      <c r="C129" s="6"/>
      <c r="D129" s="6"/>
      <c r="E129" s="6"/>
      <c r="F129" s="6"/>
      <c r="G129" s="6"/>
      <c r="H129" s="6"/>
      <c r="I129" s="6"/>
      <c r="J129" s="6"/>
    </row>
    <row r="130" customFormat="false" ht="15" hidden="false" customHeight="false" outlineLevel="0" collapsed="false">
      <c r="A130" s="17" t="str">
        <f aca="false">IF($B130="","",ROW()-5)</f>
        <v/>
      </c>
      <c r="B130" s="22"/>
      <c r="C130" s="6"/>
      <c r="D130" s="6"/>
      <c r="E130" s="6"/>
      <c r="F130" s="6"/>
      <c r="G130" s="6"/>
      <c r="H130" s="6"/>
      <c r="I130" s="6"/>
      <c r="J130" s="6"/>
    </row>
    <row r="131" customFormat="false" ht="15" hidden="false" customHeight="false" outlineLevel="0" collapsed="false">
      <c r="A131" s="17" t="str">
        <f aca="false">IF($B131="","",ROW()-5)</f>
        <v/>
      </c>
      <c r="B131" s="22"/>
      <c r="C131" s="6"/>
      <c r="D131" s="6"/>
      <c r="E131" s="6"/>
      <c r="F131" s="6"/>
      <c r="G131" s="6"/>
      <c r="H131" s="6"/>
      <c r="I131" s="6"/>
      <c r="J131" s="6"/>
    </row>
    <row r="132" customFormat="false" ht="15" hidden="false" customHeight="false" outlineLevel="0" collapsed="false">
      <c r="A132" s="17" t="str">
        <f aca="false">IF($B132="","",ROW()-5)</f>
        <v/>
      </c>
      <c r="B132" s="22"/>
      <c r="C132" s="6"/>
      <c r="D132" s="6"/>
      <c r="E132" s="6"/>
      <c r="F132" s="6"/>
      <c r="G132" s="6"/>
      <c r="H132" s="6"/>
      <c r="I132" s="6"/>
      <c r="J132" s="6"/>
    </row>
    <row r="133" customFormat="false" ht="15" hidden="false" customHeight="false" outlineLevel="0" collapsed="false">
      <c r="A133" s="17" t="str">
        <f aca="false">IF($B133="","",ROW()-5)</f>
        <v/>
      </c>
      <c r="B133" s="22"/>
      <c r="C133" s="6"/>
      <c r="D133" s="6"/>
      <c r="E133" s="6"/>
      <c r="F133" s="6"/>
      <c r="G133" s="6"/>
      <c r="H133" s="6"/>
      <c r="I133" s="6"/>
      <c r="J133" s="6"/>
    </row>
    <row r="134" customFormat="false" ht="15" hidden="false" customHeight="false" outlineLevel="0" collapsed="false">
      <c r="A134" s="17" t="str">
        <f aca="false">IF($B134="","",ROW()-5)</f>
        <v/>
      </c>
      <c r="B134" s="22"/>
      <c r="C134" s="6"/>
      <c r="D134" s="6"/>
      <c r="E134" s="6"/>
      <c r="F134" s="6"/>
      <c r="G134" s="6"/>
      <c r="H134" s="6"/>
      <c r="I134" s="6"/>
      <c r="J134" s="6"/>
    </row>
    <row r="135" customFormat="false" ht="15" hidden="false" customHeight="false" outlineLevel="0" collapsed="false">
      <c r="A135" s="17" t="str">
        <f aca="false">IF($B135="","",ROW()-5)</f>
        <v/>
      </c>
      <c r="B135" s="22"/>
      <c r="C135" s="6"/>
      <c r="D135" s="6"/>
      <c r="E135" s="6"/>
      <c r="F135" s="6"/>
      <c r="G135" s="6"/>
      <c r="H135" s="6"/>
      <c r="I135" s="6"/>
      <c r="J135" s="6"/>
    </row>
    <row r="136" customFormat="false" ht="15" hidden="false" customHeight="false" outlineLevel="0" collapsed="false">
      <c r="A136" s="17" t="str">
        <f aca="false">IF($B136="","",ROW()-5)</f>
        <v/>
      </c>
      <c r="B136" s="22"/>
      <c r="C136" s="6"/>
      <c r="D136" s="6"/>
      <c r="E136" s="6"/>
      <c r="F136" s="6"/>
      <c r="G136" s="6"/>
      <c r="H136" s="6"/>
      <c r="I136" s="6"/>
      <c r="J136" s="6"/>
    </row>
    <row r="137" customFormat="false" ht="15" hidden="false" customHeight="false" outlineLevel="0" collapsed="false">
      <c r="A137" s="17" t="str">
        <f aca="false">IF($B137="","",ROW()-5)</f>
        <v/>
      </c>
      <c r="B137" s="22"/>
      <c r="C137" s="6"/>
      <c r="D137" s="6"/>
      <c r="E137" s="6"/>
      <c r="F137" s="6"/>
      <c r="G137" s="6"/>
      <c r="H137" s="6"/>
      <c r="I137" s="6"/>
      <c r="J137" s="6"/>
    </row>
    <row r="138" customFormat="false" ht="15" hidden="false" customHeight="false" outlineLevel="0" collapsed="false">
      <c r="A138" s="17" t="str">
        <f aca="false">IF($B138="","",ROW()-5)</f>
        <v/>
      </c>
      <c r="B138" s="22"/>
      <c r="C138" s="6"/>
      <c r="D138" s="6"/>
      <c r="E138" s="6"/>
      <c r="F138" s="6"/>
      <c r="G138" s="6"/>
      <c r="H138" s="6"/>
      <c r="I138" s="6"/>
      <c r="J138" s="6"/>
    </row>
    <row r="139" customFormat="false" ht="15" hidden="false" customHeight="false" outlineLevel="0" collapsed="false">
      <c r="A139" s="17" t="str">
        <f aca="false">IF($B139="","",ROW()-5)</f>
        <v/>
      </c>
      <c r="B139" s="22"/>
      <c r="C139" s="6"/>
      <c r="D139" s="6"/>
      <c r="E139" s="6"/>
      <c r="F139" s="6"/>
      <c r="G139" s="6"/>
      <c r="H139" s="6"/>
      <c r="I139" s="6"/>
      <c r="J139" s="6"/>
    </row>
    <row r="140" customFormat="false" ht="15" hidden="false" customHeight="false" outlineLevel="0" collapsed="false">
      <c r="A140" s="17" t="str">
        <f aca="false">IF($B140="","",ROW()-5)</f>
        <v/>
      </c>
      <c r="B140" s="22"/>
      <c r="C140" s="6"/>
      <c r="D140" s="6"/>
      <c r="E140" s="6"/>
      <c r="F140" s="6"/>
      <c r="G140" s="6"/>
      <c r="H140" s="6"/>
      <c r="I140" s="6"/>
      <c r="J140" s="6"/>
    </row>
    <row r="141" customFormat="false" ht="15" hidden="false" customHeight="false" outlineLevel="0" collapsed="false">
      <c r="A141" s="17" t="str">
        <f aca="false">IF($B141="","",ROW()-5)</f>
        <v/>
      </c>
      <c r="B141" s="22"/>
      <c r="C141" s="6"/>
      <c r="D141" s="6"/>
      <c r="E141" s="6"/>
      <c r="F141" s="6"/>
      <c r="G141" s="6"/>
      <c r="H141" s="6"/>
      <c r="I141" s="6"/>
      <c r="J141" s="6"/>
    </row>
    <row r="142" customFormat="false" ht="15" hidden="false" customHeight="false" outlineLevel="0" collapsed="false">
      <c r="A142" s="17" t="str">
        <f aca="false">IF($B142="","",ROW()-5)</f>
        <v/>
      </c>
      <c r="B142" s="22"/>
      <c r="C142" s="6"/>
      <c r="D142" s="6"/>
      <c r="E142" s="6"/>
      <c r="F142" s="6"/>
      <c r="G142" s="6"/>
      <c r="H142" s="6"/>
      <c r="I142" s="6"/>
      <c r="J142" s="6"/>
    </row>
    <row r="143" customFormat="false" ht="15" hidden="false" customHeight="false" outlineLevel="0" collapsed="false">
      <c r="A143" s="17" t="str">
        <f aca="false">IF($B143="","",ROW()-5)</f>
        <v/>
      </c>
      <c r="B143" s="22"/>
      <c r="C143" s="6"/>
      <c r="D143" s="6"/>
      <c r="E143" s="6"/>
      <c r="F143" s="6"/>
      <c r="G143" s="6"/>
      <c r="H143" s="6"/>
      <c r="I143" s="6"/>
      <c r="J143" s="6"/>
    </row>
    <row r="144" customFormat="false" ht="15" hidden="false" customHeight="false" outlineLevel="0" collapsed="false">
      <c r="A144" s="17" t="str">
        <f aca="false">IF($B144="","",ROW()-5)</f>
        <v/>
      </c>
      <c r="B144" s="22"/>
      <c r="C144" s="6"/>
      <c r="D144" s="6"/>
      <c r="E144" s="6"/>
      <c r="F144" s="6"/>
      <c r="G144" s="6"/>
      <c r="H144" s="6"/>
      <c r="I144" s="6"/>
      <c r="J144" s="6"/>
    </row>
    <row r="145" customFormat="false" ht="15" hidden="false" customHeight="false" outlineLevel="0" collapsed="false">
      <c r="A145" s="17" t="str">
        <f aca="false">IF($B145="","",ROW()-5)</f>
        <v/>
      </c>
      <c r="B145" s="22"/>
      <c r="C145" s="6"/>
      <c r="D145" s="6"/>
      <c r="E145" s="6"/>
      <c r="F145" s="6"/>
      <c r="G145" s="6"/>
      <c r="H145" s="6"/>
      <c r="I145" s="6"/>
      <c r="J145" s="6"/>
    </row>
    <row r="146" customFormat="false" ht="15" hidden="false" customHeight="false" outlineLevel="0" collapsed="false">
      <c r="A146" s="17" t="str">
        <f aca="false">IF($B146="","",ROW()-5)</f>
        <v/>
      </c>
      <c r="B146" s="22"/>
      <c r="C146" s="6"/>
      <c r="D146" s="6"/>
      <c r="E146" s="6"/>
      <c r="F146" s="6"/>
      <c r="G146" s="6"/>
      <c r="H146" s="6"/>
      <c r="I146" s="6"/>
      <c r="J146" s="6"/>
    </row>
    <row r="147" customFormat="false" ht="15" hidden="false" customHeight="false" outlineLevel="0" collapsed="false">
      <c r="A147" s="17" t="str">
        <f aca="false">IF($B147="","",ROW()-5)</f>
        <v/>
      </c>
      <c r="B147" s="22"/>
      <c r="C147" s="6"/>
      <c r="D147" s="6"/>
      <c r="E147" s="6"/>
      <c r="F147" s="6"/>
      <c r="G147" s="6"/>
      <c r="H147" s="6"/>
      <c r="I147" s="6"/>
      <c r="J147" s="6"/>
    </row>
    <row r="148" customFormat="false" ht="15" hidden="false" customHeight="false" outlineLevel="0" collapsed="false">
      <c r="A148" s="17" t="str">
        <f aca="false">IF($B148="","",ROW()-5)</f>
        <v/>
      </c>
      <c r="B148" s="22"/>
      <c r="C148" s="6"/>
      <c r="D148" s="6"/>
      <c r="E148" s="6"/>
      <c r="F148" s="6"/>
      <c r="G148" s="6"/>
      <c r="H148" s="6"/>
      <c r="I148" s="6"/>
      <c r="J148" s="6"/>
    </row>
    <row r="149" customFormat="false" ht="15" hidden="false" customHeight="false" outlineLevel="0" collapsed="false">
      <c r="A149" s="17" t="str">
        <f aca="false">IF($B149="","",ROW()-5)</f>
        <v/>
      </c>
      <c r="B149" s="22"/>
      <c r="C149" s="6"/>
      <c r="D149" s="6"/>
      <c r="E149" s="6"/>
      <c r="F149" s="6"/>
      <c r="G149" s="6"/>
      <c r="H149" s="6"/>
      <c r="I149" s="6"/>
      <c r="J149" s="6"/>
    </row>
    <row r="150" customFormat="false" ht="15" hidden="false" customHeight="false" outlineLevel="0" collapsed="false">
      <c r="A150" s="17" t="str">
        <f aca="false">IF($B150="","",ROW()-5)</f>
        <v/>
      </c>
      <c r="B150" s="22"/>
      <c r="C150" s="6"/>
      <c r="D150" s="6"/>
      <c r="E150" s="6"/>
      <c r="F150" s="6"/>
      <c r="G150" s="6"/>
      <c r="H150" s="6"/>
      <c r="I150" s="6"/>
      <c r="J150" s="6"/>
    </row>
    <row r="151" customFormat="false" ht="15" hidden="false" customHeight="false" outlineLevel="0" collapsed="false">
      <c r="A151" s="17" t="str">
        <f aca="false">IF($B151="","",ROW()-5)</f>
        <v/>
      </c>
      <c r="B151" s="22"/>
      <c r="C151" s="6"/>
      <c r="D151" s="6"/>
      <c r="E151" s="6"/>
      <c r="F151" s="6"/>
      <c r="G151" s="6"/>
      <c r="H151" s="6"/>
      <c r="I151" s="6"/>
      <c r="J151" s="6"/>
    </row>
    <row r="152" customFormat="false" ht="15" hidden="false" customHeight="false" outlineLevel="0" collapsed="false">
      <c r="A152" s="17" t="str">
        <f aca="false">IF($B152="","",ROW()-5)</f>
        <v/>
      </c>
      <c r="B152" s="22"/>
      <c r="C152" s="6"/>
      <c r="D152" s="6"/>
      <c r="E152" s="6"/>
      <c r="F152" s="6"/>
      <c r="G152" s="6"/>
      <c r="H152" s="6"/>
      <c r="I152" s="6"/>
      <c r="J152" s="6"/>
    </row>
    <row r="153" customFormat="false" ht="15" hidden="false" customHeight="false" outlineLevel="0" collapsed="false">
      <c r="A153" s="17" t="str">
        <f aca="false">IF($B153="","",ROW()-5)</f>
        <v/>
      </c>
      <c r="B153" s="22"/>
      <c r="C153" s="6"/>
      <c r="D153" s="6"/>
      <c r="E153" s="6"/>
      <c r="F153" s="6"/>
      <c r="G153" s="6"/>
      <c r="H153" s="6"/>
      <c r="I153" s="6"/>
      <c r="J153" s="6"/>
    </row>
    <row r="154" customFormat="false" ht="15" hidden="false" customHeight="false" outlineLevel="0" collapsed="false">
      <c r="A154" s="17" t="str">
        <f aca="false">IF($B154="","",ROW()-5)</f>
        <v/>
      </c>
      <c r="B154" s="22"/>
      <c r="C154" s="6"/>
      <c r="D154" s="6"/>
      <c r="E154" s="6"/>
      <c r="F154" s="6"/>
      <c r="G154" s="6"/>
      <c r="H154" s="6"/>
      <c r="I154" s="6"/>
      <c r="J154" s="6"/>
    </row>
    <row r="155" customFormat="false" ht="15" hidden="false" customHeight="false" outlineLevel="0" collapsed="false">
      <c r="A155" s="17" t="str">
        <f aca="false">IF($B155="","",ROW()-5)</f>
        <v/>
      </c>
      <c r="B155" s="22"/>
      <c r="C155" s="6"/>
      <c r="D155" s="6"/>
      <c r="E155" s="6"/>
      <c r="F155" s="6"/>
      <c r="G155" s="6"/>
      <c r="H155" s="6"/>
      <c r="I155" s="6"/>
      <c r="J155" s="6"/>
    </row>
    <row r="156" customFormat="false" ht="15" hidden="false" customHeight="false" outlineLevel="0" collapsed="false">
      <c r="A156" s="17" t="str">
        <f aca="false">IF($B156="","",ROW()-5)</f>
        <v/>
      </c>
      <c r="B156" s="22"/>
      <c r="C156" s="6"/>
      <c r="D156" s="6"/>
      <c r="E156" s="6"/>
      <c r="F156" s="6"/>
      <c r="G156" s="6"/>
      <c r="H156" s="6"/>
      <c r="I156" s="6"/>
      <c r="J156" s="6"/>
    </row>
    <row r="157" customFormat="false" ht="15" hidden="false" customHeight="false" outlineLevel="0" collapsed="false">
      <c r="A157" s="17" t="str">
        <f aca="false">IF($B157="","",ROW()-5)</f>
        <v/>
      </c>
      <c r="B157" s="22"/>
      <c r="C157" s="6"/>
      <c r="D157" s="6"/>
      <c r="E157" s="6"/>
      <c r="F157" s="6"/>
      <c r="G157" s="6"/>
      <c r="H157" s="6"/>
      <c r="I157" s="6"/>
      <c r="J157" s="6"/>
    </row>
    <row r="158" customFormat="false" ht="15" hidden="false" customHeight="false" outlineLevel="0" collapsed="false">
      <c r="A158" s="17" t="str">
        <f aca="false">IF($B158="","",ROW()-5)</f>
        <v/>
      </c>
      <c r="B158" s="22"/>
      <c r="C158" s="6"/>
      <c r="D158" s="6"/>
      <c r="E158" s="6"/>
      <c r="F158" s="6"/>
      <c r="G158" s="6"/>
      <c r="H158" s="6"/>
      <c r="I158" s="6"/>
      <c r="J158" s="6"/>
    </row>
    <row r="159" customFormat="false" ht="15" hidden="false" customHeight="false" outlineLevel="0" collapsed="false">
      <c r="A159" s="17" t="str">
        <f aca="false">IF($B159="","",ROW()-5)</f>
        <v/>
      </c>
      <c r="B159" s="22"/>
      <c r="C159" s="6"/>
      <c r="D159" s="6"/>
      <c r="E159" s="6"/>
      <c r="F159" s="6"/>
      <c r="G159" s="6"/>
      <c r="H159" s="6"/>
      <c r="I159" s="6"/>
      <c r="J159" s="6"/>
    </row>
    <row r="160" customFormat="false" ht="15" hidden="false" customHeight="false" outlineLevel="0" collapsed="false">
      <c r="A160" s="17" t="str">
        <f aca="false">IF($B160="","",ROW()-5)</f>
        <v/>
      </c>
      <c r="B160" s="22"/>
      <c r="C160" s="6"/>
      <c r="D160" s="6"/>
      <c r="E160" s="6"/>
      <c r="F160" s="6"/>
      <c r="G160" s="6"/>
      <c r="H160" s="6"/>
      <c r="I160" s="6"/>
      <c r="J160" s="6"/>
    </row>
    <row r="161" customFormat="false" ht="15" hidden="false" customHeight="false" outlineLevel="0" collapsed="false">
      <c r="A161" s="17" t="str">
        <f aca="false">IF($B161="","",ROW()-5)</f>
        <v/>
      </c>
      <c r="B161" s="22"/>
      <c r="C161" s="6"/>
      <c r="D161" s="6"/>
      <c r="E161" s="6"/>
      <c r="F161" s="6"/>
      <c r="G161" s="6"/>
      <c r="H161" s="6"/>
      <c r="I161" s="6"/>
      <c r="J161" s="6"/>
    </row>
    <row r="162" customFormat="false" ht="15" hidden="false" customHeight="false" outlineLevel="0" collapsed="false">
      <c r="A162" s="17" t="str">
        <f aca="false">IF($B162="","",ROW()-5)</f>
        <v/>
      </c>
      <c r="B162" s="22"/>
      <c r="C162" s="6"/>
      <c r="D162" s="6"/>
      <c r="E162" s="6"/>
      <c r="F162" s="6"/>
      <c r="G162" s="6"/>
      <c r="H162" s="6"/>
      <c r="I162" s="6"/>
      <c r="J162" s="6"/>
    </row>
    <row r="163" customFormat="false" ht="15" hidden="false" customHeight="false" outlineLevel="0" collapsed="false">
      <c r="A163" s="17" t="str">
        <f aca="false">IF($B163="","",ROW()-5)</f>
        <v/>
      </c>
      <c r="B163" s="22"/>
      <c r="C163" s="6"/>
      <c r="D163" s="6"/>
      <c r="E163" s="6"/>
      <c r="F163" s="6"/>
      <c r="G163" s="6"/>
      <c r="H163" s="6"/>
      <c r="I163" s="6"/>
      <c r="J163" s="6"/>
    </row>
    <row r="164" customFormat="false" ht="15" hidden="false" customHeight="false" outlineLevel="0" collapsed="false">
      <c r="A164" s="17" t="str">
        <f aca="false">IF($B164="","",ROW()-5)</f>
        <v/>
      </c>
      <c r="B164" s="22"/>
      <c r="C164" s="6"/>
      <c r="D164" s="6"/>
      <c r="E164" s="6"/>
      <c r="F164" s="6"/>
      <c r="G164" s="6"/>
      <c r="H164" s="6"/>
      <c r="I164" s="6"/>
      <c r="J164" s="6"/>
    </row>
    <row r="165" customFormat="false" ht="15" hidden="false" customHeight="false" outlineLevel="0" collapsed="false">
      <c r="A165" s="17" t="str">
        <f aca="false">IF($B165="","",ROW()-5)</f>
        <v/>
      </c>
      <c r="B165" s="22"/>
      <c r="C165" s="6"/>
      <c r="D165" s="6"/>
      <c r="E165" s="6"/>
      <c r="F165" s="6"/>
      <c r="G165" s="6"/>
      <c r="H165" s="6"/>
      <c r="I165" s="6"/>
      <c r="J165" s="6"/>
    </row>
    <row r="166" customFormat="false" ht="15" hidden="false" customHeight="false" outlineLevel="0" collapsed="false">
      <c r="A166" s="17" t="str">
        <f aca="false">IF($B166="","",ROW()-5)</f>
        <v/>
      </c>
      <c r="B166" s="22"/>
      <c r="C166" s="6"/>
      <c r="D166" s="6"/>
      <c r="E166" s="6"/>
      <c r="F166" s="6"/>
      <c r="G166" s="6"/>
      <c r="H166" s="6"/>
      <c r="I166" s="6"/>
      <c r="J166" s="6"/>
    </row>
    <row r="167" customFormat="false" ht="15" hidden="false" customHeight="false" outlineLevel="0" collapsed="false">
      <c r="A167" s="17" t="str">
        <f aca="false">IF($B167="","",ROW()-5)</f>
        <v/>
      </c>
      <c r="B167" s="22"/>
      <c r="C167" s="6"/>
      <c r="D167" s="6"/>
      <c r="E167" s="6"/>
      <c r="F167" s="6"/>
      <c r="G167" s="6"/>
      <c r="H167" s="6"/>
      <c r="I167" s="6"/>
      <c r="J167" s="6"/>
    </row>
    <row r="168" customFormat="false" ht="15" hidden="false" customHeight="false" outlineLevel="0" collapsed="false">
      <c r="A168" s="17" t="str">
        <f aca="false">IF($B168="","",ROW()-5)</f>
        <v/>
      </c>
      <c r="B168" s="22"/>
      <c r="C168" s="6"/>
      <c r="D168" s="6"/>
      <c r="E168" s="6"/>
      <c r="F168" s="6"/>
      <c r="G168" s="6"/>
      <c r="H168" s="6"/>
      <c r="I168" s="6"/>
      <c r="J168" s="6"/>
    </row>
    <row r="169" customFormat="false" ht="15" hidden="false" customHeight="false" outlineLevel="0" collapsed="false">
      <c r="A169" s="17" t="str">
        <f aca="false">IF($B169="","",ROW()-5)</f>
        <v/>
      </c>
      <c r="B169" s="22"/>
      <c r="C169" s="6"/>
      <c r="D169" s="6"/>
      <c r="E169" s="6"/>
      <c r="F169" s="6"/>
      <c r="G169" s="6"/>
      <c r="H169" s="6"/>
      <c r="I169" s="6"/>
      <c r="J169" s="6"/>
    </row>
    <row r="170" customFormat="false" ht="15" hidden="false" customHeight="false" outlineLevel="0" collapsed="false">
      <c r="A170" s="17" t="str">
        <f aca="false">IF($B170="","",ROW()-5)</f>
        <v/>
      </c>
      <c r="B170" s="22"/>
      <c r="C170" s="6"/>
      <c r="D170" s="6"/>
      <c r="E170" s="6"/>
      <c r="F170" s="6"/>
      <c r="G170" s="6"/>
      <c r="H170" s="6"/>
      <c r="I170" s="6"/>
      <c r="J170" s="6"/>
    </row>
    <row r="171" customFormat="false" ht="15" hidden="false" customHeight="false" outlineLevel="0" collapsed="false">
      <c r="A171" s="17" t="str">
        <f aca="false">IF($B171="","",ROW()-5)</f>
        <v/>
      </c>
      <c r="B171" s="22"/>
      <c r="C171" s="6"/>
      <c r="D171" s="6"/>
      <c r="E171" s="6"/>
      <c r="F171" s="6"/>
      <c r="G171" s="6"/>
      <c r="H171" s="6"/>
      <c r="I171" s="6"/>
      <c r="J171" s="6"/>
    </row>
    <row r="172" customFormat="false" ht="15" hidden="false" customHeight="false" outlineLevel="0" collapsed="false">
      <c r="A172" s="17" t="str">
        <f aca="false">IF($B172="","",ROW()-5)</f>
        <v/>
      </c>
      <c r="B172" s="22"/>
      <c r="C172" s="6"/>
      <c r="D172" s="6"/>
      <c r="E172" s="6"/>
      <c r="F172" s="6"/>
      <c r="G172" s="6"/>
      <c r="H172" s="6"/>
      <c r="I172" s="6"/>
      <c r="J172" s="6"/>
    </row>
    <row r="173" customFormat="false" ht="15" hidden="false" customHeight="false" outlineLevel="0" collapsed="false">
      <c r="A173" s="17" t="str">
        <f aca="false">IF($B173="","",ROW()-5)</f>
        <v/>
      </c>
      <c r="B173" s="22"/>
      <c r="C173" s="6"/>
      <c r="D173" s="6"/>
      <c r="E173" s="6"/>
      <c r="F173" s="6"/>
      <c r="G173" s="6"/>
      <c r="H173" s="6"/>
      <c r="I173" s="6"/>
      <c r="J173" s="6"/>
    </row>
    <row r="174" customFormat="false" ht="15" hidden="false" customHeight="false" outlineLevel="0" collapsed="false">
      <c r="A174" s="17" t="str">
        <f aca="false">IF($B174="","",ROW()-5)</f>
        <v/>
      </c>
      <c r="B174" s="22"/>
      <c r="C174" s="6"/>
      <c r="D174" s="6"/>
      <c r="E174" s="6"/>
      <c r="F174" s="6"/>
      <c r="G174" s="6"/>
      <c r="H174" s="6"/>
      <c r="I174" s="6"/>
      <c r="J174" s="6"/>
    </row>
    <row r="175" customFormat="false" ht="15" hidden="false" customHeight="false" outlineLevel="0" collapsed="false">
      <c r="A175" s="17" t="str">
        <f aca="false">IF($B175="","",ROW()-5)</f>
        <v/>
      </c>
      <c r="B175" s="22"/>
      <c r="C175" s="6"/>
      <c r="D175" s="6"/>
      <c r="E175" s="6"/>
      <c r="F175" s="6"/>
      <c r="G175" s="6"/>
      <c r="H175" s="6"/>
      <c r="I175" s="6"/>
      <c r="J175" s="6"/>
    </row>
    <row r="176" customFormat="false" ht="15" hidden="false" customHeight="false" outlineLevel="0" collapsed="false">
      <c r="A176" s="17" t="str">
        <f aca="false">IF($B176="","",ROW()-5)</f>
        <v/>
      </c>
      <c r="B176" s="22"/>
      <c r="C176" s="6"/>
      <c r="D176" s="6"/>
      <c r="E176" s="6"/>
      <c r="F176" s="6"/>
      <c r="G176" s="6"/>
      <c r="H176" s="6"/>
      <c r="I176" s="6"/>
      <c r="J176" s="6"/>
    </row>
    <row r="177" customFormat="false" ht="15" hidden="false" customHeight="false" outlineLevel="0" collapsed="false">
      <c r="A177" s="17" t="str">
        <f aca="false">IF($B177="","",ROW()-5)</f>
        <v/>
      </c>
      <c r="B177" s="22"/>
      <c r="C177" s="6"/>
      <c r="D177" s="6"/>
      <c r="E177" s="6"/>
      <c r="F177" s="6"/>
      <c r="G177" s="6"/>
      <c r="H177" s="6"/>
      <c r="I177" s="6"/>
      <c r="J177" s="6"/>
    </row>
    <row r="178" customFormat="false" ht="15" hidden="false" customHeight="false" outlineLevel="0" collapsed="false">
      <c r="A178" s="17" t="str">
        <f aca="false">IF($B178="","",ROW()-5)</f>
        <v/>
      </c>
      <c r="B178" s="22"/>
      <c r="C178" s="6"/>
      <c r="D178" s="6"/>
      <c r="E178" s="6"/>
      <c r="F178" s="6"/>
      <c r="G178" s="6"/>
      <c r="H178" s="6"/>
      <c r="I178" s="6"/>
      <c r="J178" s="6"/>
    </row>
    <row r="179" customFormat="false" ht="15" hidden="false" customHeight="false" outlineLevel="0" collapsed="false">
      <c r="A179" s="17" t="str">
        <f aca="false">IF($B179="","",ROW()-5)</f>
        <v/>
      </c>
      <c r="B179" s="22"/>
      <c r="C179" s="6"/>
      <c r="D179" s="6"/>
      <c r="E179" s="6"/>
      <c r="F179" s="6"/>
      <c r="G179" s="6"/>
      <c r="H179" s="6"/>
      <c r="I179" s="6"/>
      <c r="J179" s="6"/>
    </row>
    <row r="180" customFormat="false" ht="15" hidden="false" customHeight="false" outlineLevel="0" collapsed="false">
      <c r="A180" s="17" t="str">
        <f aca="false">IF($B180="","",ROW()-5)</f>
        <v/>
      </c>
      <c r="B180" s="22"/>
      <c r="C180" s="6"/>
      <c r="D180" s="6"/>
      <c r="E180" s="6"/>
      <c r="F180" s="6"/>
      <c r="G180" s="6"/>
      <c r="H180" s="6"/>
      <c r="I180" s="6"/>
      <c r="J180" s="6"/>
    </row>
    <row r="181" customFormat="false" ht="15" hidden="false" customHeight="false" outlineLevel="0" collapsed="false">
      <c r="A181" s="17" t="str">
        <f aca="false">IF($B181="","",ROW()-5)</f>
        <v/>
      </c>
      <c r="B181" s="22"/>
      <c r="C181" s="6"/>
      <c r="D181" s="6"/>
      <c r="E181" s="6"/>
      <c r="F181" s="6"/>
      <c r="G181" s="6"/>
      <c r="H181" s="6"/>
      <c r="I181" s="6"/>
      <c r="J181" s="6"/>
    </row>
    <row r="182" customFormat="false" ht="15" hidden="false" customHeight="false" outlineLevel="0" collapsed="false">
      <c r="A182" s="17" t="str">
        <f aca="false">IF($B182="","",ROW()-5)</f>
        <v/>
      </c>
      <c r="B182" s="22"/>
      <c r="C182" s="6"/>
      <c r="D182" s="6"/>
      <c r="E182" s="6"/>
      <c r="F182" s="6"/>
      <c r="G182" s="6"/>
      <c r="H182" s="6"/>
      <c r="I182" s="6"/>
      <c r="J182" s="6"/>
    </row>
    <row r="183" customFormat="false" ht="15" hidden="false" customHeight="false" outlineLevel="0" collapsed="false">
      <c r="A183" s="17" t="str">
        <f aca="false">IF($B183="","",ROW()-5)</f>
        <v/>
      </c>
      <c r="B183" s="22"/>
      <c r="C183" s="6"/>
      <c r="D183" s="6"/>
      <c r="E183" s="6"/>
      <c r="F183" s="6"/>
      <c r="G183" s="6"/>
      <c r="H183" s="6"/>
      <c r="I183" s="6"/>
      <c r="J183" s="6"/>
    </row>
    <row r="184" customFormat="false" ht="15" hidden="false" customHeight="false" outlineLevel="0" collapsed="false">
      <c r="A184" s="17" t="str">
        <f aca="false">IF($B184="","",ROW()-5)</f>
        <v/>
      </c>
      <c r="B184" s="22"/>
      <c r="C184" s="6"/>
      <c r="D184" s="6"/>
      <c r="E184" s="6"/>
      <c r="F184" s="6"/>
      <c r="G184" s="6"/>
      <c r="H184" s="6"/>
      <c r="I184" s="6"/>
      <c r="J184" s="6"/>
    </row>
    <row r="185" customFormat="false" ht="15" hidden="false" customHeight="false" outlineLevel="0" collapsed="false">
      <c r="A185" s="17" t="str">
        <f aca="false">IF($B185="","",ROW()-5)</f>
        <v/>
      </c>
      <c r="B185" s="22"/>
      <c r="C185" s="6"/>
      <c r="D185" s="6"/>
      <c r="E185" s="6"/>
      <c r="F185" s="6"/>
      <c r="G185" s="6"/>
      <c r="H185" s="6"/>
      <c r="I185" s="6"/>
      <c r="J185" s="6"/>
    </row>
    <row r="186" customFormat="false" ht="15" hidden="false" customHeight="false" outlineLevel="0" collapsed="false">
      <c r="A186" s="17" t="str">
        <f aca="false">IF($B186="","",ROW()-5)</f>
        <v/>
      </c>
      <c r="B186" s="22"/>
      <c r="C186" s="6"/>
      <c r="D186" s="6"/>
      <c r="E186" s="6"/>
      <c r="F186" s="6"/>
      <c r="G186" s="6"/>
      <c r="H186" s="6"/>
      <c r="I186" s="6"/>
      <c r="J186" s="6"/>
    </row>
    <row r="187" customFormat="false" ht="15" hidden="false" customHeight="false" outlineLevel="0" collapsed="false">
      <c r="A187" s="17" t="str">
        <f aca="false">IF($B187="","",ROW()-5)</f>
        <v/>
      </c>
      <c r="B187" s="22"/>
      <c r="C187" s="6"/>
      <c r="D187" s="6"/>
      <c r="E187" s="6"/>
      <c r="F187" s="6"/>
      <c r="G187" s="6"/>
      <c r="H187" s="6"/>
      <c r="I187" s="6"/>
      <c r="J187" s="6"/>
    </row>
    <row r="188" customFormat="false" ht="15" hidden="false" customHeight="false" outlineLevel="0" collapsed="false">
      <c r="A188" s="17" t="str">
        <f aca="false">IF($B188="","",ROW()-5)</f>
        <v/>
      </c>
      <c r="B188" s="22"/>
      <c r="C188" s="6"/>
      <c r="D188" s="6"/>
      <c r="E188" s="6"/>
      <c r="F188" s="6"/>
      <c r="G188" s="6"/>
      <c r="H188" s="6"/>
      <c r="I188" s="6"/>
      <c r="J188" s="6"/>
    </row>
    <row r="189" customFormat="false" ht="15" hidden="false" customHeight="false" outlineLevel="0" collapsed="false">
      <c r="A189" s="17" t="str">
        <f aca="false">IF($B189="","",ROW()-5)</f>
        <v/>
      </c>
      <c r="B189" s="22"/>
      <c r="C189" s="6"/>
      <c r="D189" s="6"/>
      <c r="E189" s="6"/>
      <c r="F189" s="6"/>
      <c r="G189" s="6"/>
      <c r="H189" s="6"/>
      <c r="I189" s="6"/>
      <c r="J189" s="6"/>
    </row>
    <row r="190" customFormat="false" ht="15" hidden="false" customHeight="false" outlineLevel="0" collapsed="false">
      <c r="A190" s="17" t="str">
        <f aca="false">IF($B190="","",ROW()-5)</f>
        <v/>
      </c>
      <c r="B190" s="22"/>
      <c r="C190" s="6"/>
      <c r="D190" s="6"/>
      <c r="E190" s="6"/>
      <c r="F190" s="6"/>
      <c r="G190" s="6"/>
      <c r="H190" s="6"/>
      <c r="I190" s="6"/>
      <c r="J190" s="6"/>
    </row>
    <row r="191" customFormat="false" ht="15" hidden="false" customHeight="false" outlineLevel="0" collapsed="false">
      <c r="A191" s="17" t="str">
        <f aca="false">IF($B191="","",ROW()-5)</f>
        <v/>
      </c>
      <c r="B191" s="22"/>
      <c r="C191" s="6"/>
      <c r="D191" s="6"/>
      <c r="E191" s="6"/>
      <c r="F191" s="6"/>
      <c r="G191" s="6"/>
      <c r="H191" s="6"/>
      <c r="I191" s="6"/>
      <c r="J191" s="6"/>
    </row>
    <row r="192" customFormat="false" ht="15" hidden="false" customHeight="false" outlineLevel="0" collapsed="false">
      <c r="A192" s="17" t="str">
        <f aca="false">IF($B192="","",ROW()-5)</f>
        <v/>
      </c>
      <c r="B192" s="22"/>
      <c r="C192" s="6"/>
      <c r="D192" s="6"/>
      <c r="E192" s="6"/>
      <c r="F192" s="6"/>
      <c r="G192" s="6"/>
      <c r="H192" s="6"/>
      <c r="I192" s="6"/>
      <c r="J192" s="6"/>
    </row>
    <row r="193" customFormat="false" ht="15" hidden="false" customHeight="false" outlineLevel="0" collapsed="false">
      <c r="A193" s="17" t="str">
        <f aca="false">IF($B193="","",ROW()-5)</f>
        <v/>
      </c>
      <c r="B193" s="22"/>
      <c r="C193" s="6"/>
      <c r="D193" s="6"/>
      <c r="E193" s="6"/>
      <c r="F193" s="6"/>
      <c r="G193" s="6"/>
      <c r="H193" s="6"/>
      <c r="I193" s="6"/>
      <c r="J193" s="6"/>
    </row>
    <row r="194" customFormat="false" ht="15" hidden="false" customHeight="false" outlineLevel="0" collapsed="false">
      <c r="A194" s="17" t="str">
        <f aca="false">IF($B194="","",ROW()-5)</f>
        <v/>
      </c>
      <c r="B194" s="22"/>
      <c r="C194" s="6"/>
      <c r="D194" s="6"/>
      <c r="E194" s="6"/>
      <c r="F194" s="6"/>
      <c r="G194" s="6"/>
      <c r="H194" s="6"/>
      <c r="I194" s="6"/>
      <c r="J194" s="6"/>
    </row>
    <row r="195" customFormat="false" ht="15" hidden="false" customHeight="false" outlineLevel="0" collapsed="false">
      <c r="A195" s="17" t="str">
        <f aca="false">IF($B195="","",ROW()-5)</f>
        <v/>
      </c>
      <c r="B195" s="22"/>
      <c r="C195" s="6"/>
      <c r="D195" s="6"/>
      <c r="E195" s="6"/>
      <c r="F195" s="6"/>
      <c r="G195" s="6"/>
      <c r="H195" s="6"/>
      <c r="I195" s="6"/>
      <c r="J195" s="6"/>
    </row>
    <row r="196" customFormat="false" ht="15" hidden="false" customHeight="false" outlineLevel="0" collapsed="false">
      <c r="A196" s="17" t="str">
        <f aca="false">IF($B196="","",ROW()-5)</f>
        <v/>
      </c>
      <c r="B196" s="22"/>
      <c r="C196" s="6"/>
      <c r="D196" s="6"/>
      <c r="E196" s="6"/>
      <c r="F196" s="6"/>
      <c r="G196" s="6"/>
      <c r="H196" s="6"/>
      <c r="I196" s="6"/>
      <c r="J196" s="6"/>
    </row>
    <row r="197" customFormat="false" ht="15" hidden="false" customHeight="false" outlineLevel="0" collapsed="false">
      <c r="A197" s="17" t="str">
        <f aca="false">IF($B197="","",ROW()-5)</f>
        <v/>
      </c>
      <c r="B197" s="22"/>
      <c r="C197" s="6"/>
      <c r="D197" s="6"/>
      <c r="E197" s="6"/>
      <c r="F197" s="6"/>
      <c r="G197" s="6"/>
      <c r="H197" s="6"/>
      <c r="I197" s="6"/>
      <c r="J197" s="6"/>
    </row>
    <row r="198" customFormat="false" ht="15" hidden="false" customHeight="false" outlineLevel="0" collapsed="false">
      <c r="A198" s="17" t="str">
        <f aca="false">IF($B198="","",ROW()-5)</f>
        <v/>
      </c>
      <c r="B198" s="22"/>
      <c r="C198" s="6"/>
      <c r="D198" s="6"/>
      <c r="E198" s="6"/>
      <c r="F198" s="6"/>
      <c r="G198" s="6"/>
      <c r="H198" s="6"/>
      <c r="I198" s="6"/>
      <c r="J198" s="6"/>
    </row>
    <row r="199" customFormat="false" ht="15" hidden="false" customHeight="false" outlineLevel="0" collapsed="false">
      <c r="A199" s="17" t="str">
        <f aca="false">IF($B199="","",ROW()-5)</f>
        <v/>
      </c>
      <c r="B199" s="22"/>
      <c r="C199" s="6"/>
      <c r="D199" s="6"/>
      <c r="E199" s="6"/>
      <c r="F199" s="6"/>
      <c r="G199" s="6"/>
      <c r="H199" s="6"/>
      <c r="I199" s="6"/>
      <c r="J199" s="6"/>
    </row>
    <row r="200" customFormat="false" ht="15" hidden="false" customHeight="false" outlineLevel="0" collapsed="false">
      <c r="A200" s="17" t="str">
        <f aca="false">IF($B200="","",ROW()-5)</f>
        <v/>
      </c>
      <c r="B200" s="22"/>
      <c r="C200" s="6"/>
      <c r="D200" s="6"/>
      <c r="E200" s="6"/>
      <c r="F200" s="6"/>
      <c r="G200" s="6"/>
      <c r="H200" s="6"/>
      <c r="I200" s="6"/>
      <c r="J200" s="6"/>
    </row>
    <row r="201" customFormat="false" ht="15" hidden="false" customHeight="false" outlineLevel="0" collapsed="false">
      <c r="A201" s="17" t="str">
        <f aca="false">IF($B201="","",ROW()-5)</f>
        <v/>
      </c>
      <c r="B201" s="22"/>
      <c r="C201" s="6"/>
      <c r="D201" s="6"/>
      <c r="E201" s="6"/>
      <c r="F201" s="6"/>
      <c r="G201" s="6"/>
      <c r="H201" s="6"/>
      <c r="I201" s="6"/>
      <c r="J201" s="6"/>
    </row>
    <row r="202" customFormat="false" ht="15" hidden="false" customHeight="false" outlineLevel="0" collapsed="false">
      <c r="A202" s="17" t="str">
        <f aca="false">IF($B202="","",ROW()-5)</f>
        <v/>
      </c>
      <c r="B202" s="22"/>
      <c r="C202" s="6"/>
      <c r="D202" s="6"/>
      <c r="E202" s="6"/>
      <c r="F202" s="6"/>
      <c r="G202" s="6"/>
      <c r="H202" s="6"/>
      <c r="I202" s="6"/>
      <c r="J202" s="6"/>
    </row>
    <row r="203" customFormat="false" ht="15" hidden="false" customHeight="false" outlineLevel="0" collapsed="false">
      <c r="A203" s="17" t="str">
        <f aca="false">IF($B203="","",ROW()-5)</f>
        <v/>
      </c>
      <c r="B203" s="22"/>
      <c r="C203" s="6"/>
      <c r="D203" s="6"/>
      <c r="E203" s="6"/>
      <c r="F203" s="6"/>
      <c r="G203" s="6"/>
      <c r="H203" s="6"/>
      <c r="I203" s="6"/>
      <c r="J203" s="6"/>
    </row>
    <row r="204" customFormat="false" ht="15" hidden="false" customHeight="false" outlineLevel="0" collapsed="false">
      <c r="A204" s="17" t="str">
        <f aca="false">IF($B204="","",ROW()-5)</f>
        <v/>
      </c>
      <c r="B204" s="22"/>
      <c r="C204" s="6"/>
      <c r="D204" s="6"/>
      <c r="E204" s="6"/>
      <c r="F204" s="6"/>
      <c r="G204" s="6"/>
      <c r="H204" s="6"/>
      <c r="I204" s="6"/>
      <c r="J204" s="6"/>
    </row>
    <row r="205" customFormat="false" ht="15" hidden="false" customHeight="false" outlineLevel="0" collapsed="false">
      <c r="A205" s="17" t="str">
        <f aca="false">IF($B205="","",ROW()-5)</f>
        <v/>
      </c>
      <c r="B205" s="22"/>
      <c r="C205" s="6"/>
      <c r="D205" s="6"/>
      <c r="E205" s="6"/>
      <c r="F205" s="6"/>
      <c r="G205" s="6"/>
      <c r="H205" s="6"/>
      <c r="I205" s="6"/>
      <c r="J205" s="6"/>
    </row>
  </sheetData>
  <dataValidations count="5">
    <dataValidation allowBlank="true" errorStyle="stop" operator="between" showDropDown="false" showErrorMessage="false" showInputMessage="false" sqref="I6:I205" type="list">
      <formula1>Lists!$D$5:$D$8</formula1>
      <formula2>0</formula2>
    </dataValidation>
    <dataValidation allowBlank="true" errorStyle="stop" operator="between" showDropDown="false" showErrorMessage="false" showInputMessage="false" sqref="D6:D205" type="list">
      <formula1>Lists!$A$5:$A$16</formula1>
      <formula2>0</formula2>
    </dataValidation>
    <dataValidation allowBlank="true" errorStyle="stop" operator="between" showDropDown="false" showErrorMessage="false" showInputMessage="false" sqref="E6:E205" type="list">
      <formula1>Lists!$C$5:$C$44</formula1>
      <formula2>0</formula2>
    </dataValidation>
    <dataValidation allowBlank="true" errorStyle="stop" operator="between" showDropDown="false" showErrorMessage="false" showInputMessage="false" sqref="F6:F205" type="list">
      <formula1>Lists!$B$5:$B$14</formula1>
      <formula2>0</formula2>
    </dataValidation>
    <dataValidation allowBlank="true" errorStyle="stop" operator="between" showDropDown="false" showErrorMessage="false" showInputMessage="false" sqref="G6:G205" type="list">
      <formula1>"10:00 AM - 7:00 PM,9:00 AM - 6:00 PM,Full Day,Half Day"</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B1:D3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22"/>
    <col collapsed="false" customWidth="true" hidden="false" outlineLevel="0" max="4" min="4" style="0" width="78"/>
    <col collapsed="false" customWidth="true" hidden="false" outlineLevel="0" max="5" min="5" style="0" width="2"/>
  </cols>
  <sheetData>
    <row r="1" customFormat="false" ht="19.7" hidden="false" customHeight="false" outlineLevel="0" collapsed="false">
      <c r="B1" s="10" t="s">
        <v>58</v>
      </c>
    </row>
    <row r="2" customFormat="false" ht="15" hidden="false" customHeight="false" outlineLevel="0" collapsed="false">
      <c r="B2" s="11" t="s">
        <v>59</v>
      </c>
    </row>
    <row r="4" customFormat="false" ht="15" hidden="false" customHeight="false" outlineLevel="0" collapsed="false">
      <c r="B4" s="16" t="s">
        <v>60</v>
      </c>
      <c r="C4" s="16" t="s">
        <v>61</v>
      </c>
      <c r="D4" s="16" t="s">
        <v>62</v>
      </c>
    </row>
    <row r="5" customFormat="false" ht="15" hidden="false" customHeight="false" outlineLevel="0" collapsed="false">
      <c r="B5" s="23" t="s">
        <v>63</v>
      </c>
      <c r="C5" s="13" t="s">
        <v>64</v>
      </c>
      <c r="D5" s="24" t="s">
        <v>65</v>
      </c>
    </row>
    <row r="6" customFormat="false" ht="15" hidden="true" customHeight="false" outlineLevel="0" collapsed="false">
      <c r="B6" s="23" t="s">
        <v>66</v>
      </c>
      <c r="C6" s="14" t="n">
        <f aca="true">TODAY()</f>
        <v>46322</v>
      </c>
      <c r="D6" s="24" t="s">
        <v>67</v>
      </c>
    </row>
    <row r="7" customFormat="false" ht="22.35" hidden="true" customHeight="false" outlineLevel="0" collapsed="false">
      <c r="B7" s="23" t="s">
        <v>68</v>
      </c>
      <c r="C7" s="25" t="n">
        <f aca="false">YEAR(C6)</f>
        <v>2026</v>
      </c>
      <c r="D7" s="24" t="s">
        <v>69</v>
      </c>
    </row>
    <row r="8" customFormat="false" ht="15" hidden="true" customHeight="false" outlineLevel="0" collapsed="false">
      <c r="B8" s="23" t="s">
        <v>70</v>
      </c>
      <c r="C8" s="26" t="str">
        <f aca="false">IF(MONTH(C6)&gt;=4,YEAR(C6),YEAR(C6)-1)&amp;"-"&amp;RIGHT(IF(MONTH(C6)&gt;=4,YEAR(C6),YEAR(C6)-1)+1,2)</f>
        <v>2026-27</v>
      </c>
      <c r="D8" s="24" t="s">
        <v>71</v>
      </c>
    </row>
    <row r="9" customFormat="false" ht="15" hidden="true" customHeight="false" outlineLevel="0" collapsed="false">
      <c r="B9" s="23" t="s">
        <v>72</v>
      </c>
      <c r="C9" s="27" t="n">
        <f aca="false">MIN(C6,DATE(C7,12,31))</f>
        <v>46322</v>
      </c>
      <c r="D9" s="24" t="s">
        <v>73</v>
      </c>
    </row>
    <row r="10" customFormat="false" ht="15" hidden="true" customHeight="false" outlineLevel="0" collapsed="false">
      <c r="B10" s="23" t="s">
        <v>74</v>
      </c>
      <c r="C10" s="28" t="n">
        <v>7</v>
      </c>
      <c r="D10" s="24" t="s">
        <v>75</v>
      </c>
    </row>
    <row r="11" customFormat="false" ht="15" hidden="true" customHeight="false" outlineLevel="0" collapsed="false">
      <c r="B11" s="23" t="s">
        <v>76</v>
      </c>
      <c r="C11" s="28" t="n">
        <v>7</v>
      </c>
      <c r="D11" s="24" t="s">
        <v>75</v>
      </c>
    </row>
    <row r="12" customFormat="false" ht="15" hidden="true" customHeight="false" outlineLevel="0" collapsed="false">
      <c r="B12" s="23" t="s">
        <v>77</v>
      </c>
      <c r="C12" s="28" t="n">
        <v>18</v>
      </c>
      <c r="D12" s="24" t="s">
        <v>78</v>
      </c>
    </row>
    <row r="13" customFormat="false" ht="22.35" hidden="true" customHeight="false" outlineLevel="0" collapsed="false">
      <c r="B13" s="23" t="s">
        <v>79</v>
      </c>
      <c r="C13" s="25" t="n">
        <v>90</v>
      </c>
      <c r="D13" s="24" t="s">
        <v>80</v>
      </c>
    </row>
    <row r="14" customFormat="false" ht="15" hidden="true" customHeight="false" outlineLevel="0" collapsed="false">
      <c r="B14" s="23" t="s">
        <v>81</v>
      </c>
      <c r="C14" s="25" t="n">
        <v>0</v>
      </c>
      <c r="D14" s="24" t="s">
        <v>82</v>
      </c>
    </row>
    <row r="15" customFormat="false" ht="23.85" hidden="true" customHeight="false" outlineLevel="0" collapsed="false">
      <c r="B15" s="23" t="s">
        <v>83</v>
      </c>
      <c r="C15" s="28" t="n">
        <v>3</v>
      </c>
      <c r="D15" s="24" t="s">
        <v>84</v>
      </c>
    </row>
    <row r="16" customFormat="false" ht="15" hidden="true" customHeight="false" outlineLevel="0" collapsed="false">
      <c r="B16" s="23" t="s">
        <v>85</v>
      </c>
      <c r="C16" s="25" t="n">
        <v>3</v>
      </c>
      <c r="D16" s="24" t="s">
        <v>75</v>
      </c>
    </row>
    <row r="17" customFormat="false" ht="15" hidden="true" customHeight="false" outlineLevel="0" collapsed="false">
      <c r="B17" s="23" t="s">
        <v>86</v>
      </c>
      <c r="C17" s="28" t="n">
        <v>0.5</v>
      </c>
      <c r="D17" s="24" t="s">
        <v>75</v>
      </c>
    </row>
    <row r="18" customFormat="false" ht="15" hidden="true" customHeight="false" outlineLevel="0" collapsed="false">
      <c r="B18" s="23" t="s">
        <v>87</v>
      </c>
      <c r="C18" s="25" t="n">
        <v>30</v>
      </c>
      <c r="D18" s="24" t="s">
        <v>88</v>
      </c>
    </row>
    <row r="21" customFormat="false" ht="15" hidden="true" customHeight="false" outlineLevel="0" collapsed="false">
      <c r="B21" s="12" t="s">
        <v>89</v>
      </c>
    </row>
    <row r="22" customFormat="false" ht="15" hidden="true" customHeight="false" outlineLevel="0" collapsed="false">
      <c r="B22" s="16" t="s">
        <v>90</v>
      </c>
      <c r="C22" s="16" t="s">
        <v>91</v>
      </c>
      <c r="D22" s="16" t="s">
        <v>92</v>
      </c>
    </row>
    <row r="23" customFormat="false" ht="15" hidden="true" customHeight="false" outlineLevel="0" collapsed="false">
      <c r="B23" s="29" t="s">
        <v>93</v>
      </c>
      <c r="C23" s="7" t="s">
        <v>94</v>
      </c>
      <c r="D23" s="23" t="s">
        <v>95</v>
      </c>
    </row>
    <row r="24" customFormat="false" ht="15" hidden="true" customHeight="false" outlineLevel="0" collapsed="false">
      <c r="B24" s="29" t="s">
        <v>96</v>
      </c>
      <c r="C24" s="7" t="s">
        <v>97</v>
      </c>
      <c r="D24" s="23" t="s">
        <v>98</v>
      </c>
    </row>
    <row r="25" customFormat="false" ht="15" hidden="true" customHeight="false" outlineLevel="0" collapsed="false">
      <c r="B25" s="29" t="s">
        <v>99</v>
      </c>
      <c r="C25" s="7" t="s">
        <v>100</v>
      </c>
      <c r="D25" s="23" t="s">
        <v>101</v>
      </c>
    </row>
    <row r="26" customFormat="false" ht="15" hidden="true" customHeight="false" outlineLevel="0" collapsed="false">
      <c r="B26" s="29" t="s">
        <v>102</v>
      </c>
      <c r="C26" s="7" t="s">
        <v>103</v>
      </c>
      <c r="D26" s="23" t="s">
        <v>104</v>
      </c>
    </row>
    <row r="27" customFormat="false" ht="15" hidden="true" customHeight="false" outlineLevel="0" collapsed="false">
      <c r="B27" s="29" t="s">
        <v>105</v>
      </c>
      <c r="C27" s="7" t="s">
        <v>106</v>
      </c>
      <c r="D27" s="23" t="s">
        <v>107</v>
      </c>
    </row>
    <row r="28" customFormat="false" ht="15" hidden="true" customHeight="false" outlineLevel="0" collapsed="false">
      <c r="B28" s="29" t="s">
        <v>108</v>
      </c>
      <c r="C28" s="7" t="s">
        <v>109</v>
      </c>
      <c r="D28" s="23" t="s">
        <v>110</v>
      </c>
    </row>
    <row r="29" customFormat="false" ht="15" hidden="true" customHeight="false" outlineLevel="0" collapsed="false">
      <c r="B29" s="29" t="s">
        <v>111</v>
      </c>
      <c r="C29" s="7" t="s">
        <v>112</v>
      </c>
      <c r="D29" s="23" t="s">
        <v>113</v>
      </c>
    </row>
    <row r="30" customFormat="false" ht="15" hidden="true" customHeight="false" outlineLevel="0" collapsed="false">
      <c r="B30" s="29" t="s">
        <v>114</v>
      </c>
      <c r="C30" s="7" t="s">
        <v>115</v>
      </c>
      <c r="D30" s="23" t="s">
        <v>116</v>
      </c>
    </row>
    <row r="31" customFormat="false" ht="15" hidden="true" customHeight="false" outlineLevel="0" collapsed="false">
      <c r="B31" s="29" t="s">
        <v>117</v>
      </c>
      <c r="C31" s="7" t="s">
        <v>118</v>
      </c>
      <c r="D31" s="23" t="s">
        <v>119</v>
      </c>
    </row>
    <row r="32" customFormat="false" ht="15" hidden="true" customHeight="false" outlineLevel="0" collapsed="false">
      <c r="B32" s="29" t="s">
        <v>120</v>
      </c>
      <c r="C32" s="7" t="s">
        <v>121</v>
      </c>
      <c r="D32" s="23" t="s">
        <v>95</v>
      </c>
    </row>
    <row r="33" customFormat="false" ht="15" hidden="true" customHeight="false" outlineLevel="0" collapsed="false">
      <c r="B33" s="29" t="s">
        <v>122</v>
      </c>
      <c r="C33" s="7" t="s">
        <v>123</v>
      </c>
      <c r="D33" s="23" t="s">
        <v>95</v>
      </c>
    </row>
    <row r="34" customFormat="false" ht="15" hidden="true" customHeight="false" outlineLevel="0" collapsed="false">
      <c r="B34" s="29" t="s">
        <v>124</v>
      </c>
      <c r="C34" s="7" t="s">
        <v>125</v>
      </c>
      <c r="D34" s="23" t="s">
        <v>95</v>
      </c>
    </row>
    <row r="35" customFormat="false" ht="15" hidden="true" customHeight="false" outlineLevel="0" collapsed="false">
      <c r="B35" s="29" t="s">
        <v>126</v>
      </c>
      <c r="C35" s="7" t="s">
        <v>127</v>
      </c>
      <c r="D35" s="23" t="s">
        <v>128</v>
      </c>
    </row>
    <row r="36" customFormat="false" ht="15" hidden="true" customHeight="false" outlineLevel="0" collapsed="false"/>
    <row r="37" customFormat="false" ht="15" hidden="true" customHeight="false" outlineLevel="0" collapsed="false">
      <c r="B37" s="11"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E4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24"/>
  </cols>
  <sheetData>
    <row r="1" customFormat="false" ht="19.7" hidden="false" customHeight="false" outlineLevel="0" collapsed="false">
      <c r="A1" s="10" t="s">
        <v>130</v>
      </c>
    </row>
    <row r="2" customFormat="false" ht="15" hidden="false" customHeight="false" outlineLevel="0" collapsed="false">
      <c r="A2" s="11" t="s">
        <v>131</v>
      </c>
    </row>
    <row r="4" customFormat="false" ht="15" hidden="false" customHeight="false" outlineLevel="0" collapsed="false">
      <c r="A4" s="16" t="s">
        <v>52</v>
      </c>
      <c r="B4" s="16" t="s">
        <v>38</v>
      </c>
      <c r="C4" s="16" t="s">
        <v>53</v>
      </c>
      <c r="D4" s="16" t="s">
        <v>132</v>
      </c>
      <c r="E4" s="16" t="s">
        <v>133</v>
      </c>
    </row>
    <row r="5" customFormat="false" ht="15" hidden="false" customHeight="false" outlineLevel="0" collapsed="false">
      <c r="A5" s="21" t="s">
        <v>134</v>
      </c>
      <c r="B5" s="21" t="s">
        <v>135</v>
      </c>
      <c r="C5" s="21" t="s">
        <v>136</v>
      </c>
      <c r="D5" s="21" t="s">
        <v>40</v>
      </c>
      <c r="E5" s="21" t="s">
        <v>137</v>
      </c>
    </row>
    <row r="6" customFormat="false" ht="15" hidden="false" customHeight="false" outlineLevel="0" collapsed="false">
      <c r="A6" s="21" t="s">
        <v>138</v>
      </c>
      <c r="B6" s="21" t="s">
        <v>139</v>
      </c>
      <c r="C6" s="21" t="s">
        <v>140</v>
      </c>
      <c r="D6" s="21" t="s">
        <v>41</v>
      </c>
      <c r="E6" s="21" t="s">
        <v>141</v>
      </c>
    </row>
    <row r="7" customFormat="false" ht="15" hidden="false" customHeight="false" outlineLevel="0" collapsed="false">
      <c r="A7" s="21" t="s">
        <v>142</v>
      </c>
      <c r="B7" s="21"/>
      <c r="C7" s="21" t="s">
        <v>143</v>
      </c>
      <c r="D7" s="21"/>
      <c r="E7" s="21" t="s">
        <v>144</v>
      </c>
    </row>
    <row r="8" customFormat="false" ht="15" hidden="false" customHeight="false" outlineLevel="0" collapsed="false">
      <c r="A8" s="21" t="s">
        <v>145</v>
      </c>
      <c r="B8" s="21"/>
      <c r="C8" s="21" t="s">
        <v>146</v>
      </c>
      <c r="D8" s="21"/>
      <c r="E8" s="21" t="s">
        <v>147</v>
      </c>
    </row>
    <row r="9" customFormat="false" ht="15" hidden="false" customHeight="false" outlineLevel="0" collapsed="false">
      <c r="A9" s="21" t="s">
        <v>148</v>
      </c>
      <c r="B9" s="21"/>
      <c r="C9" s="21" t="s">
        <v>149</v>
      </c>
      <c r="E9" s="21"/>
    </row>
    <row r="10" customFormat="false" ht="15" hidden="false" customHeight="false" outlineLevel="0" collapsed="false">
      <c r="A10" s="21" t="s">
        <v>150</v>
      </c>
      <c r="B10" s="21"/>
      <c r="C10" s="21"/>
      <c r="E10" s="21"/>
    </row>
    <row r="11" customFormat="false" ht="15" hidden="false" customHeight="false" outlineLevel="0" collapsed="false">
      <c r="A11" s="21" t="s">
        <v>151</v>
      </c>
      <c r="B11" s="21"/>
      <c r="C11" s="21"/>
    </row>
    <row r="12" customFormat="false" ht="15" hidden="false" customHeight="false" outlineLevel="0" collapsed="false">
      <c r="A12" s="21" t="s">
        <v>152</v>
      </c>
      <c r="B12" s="21"/>
      <c r="C12" s="21"/>
    </row>
    <row r="13" customFormat="false" ht="15" hidden="false" customHeight="false" outlineLevel="0" collapsed="false">
      <c r="A13" s="21"/>
      <c r="B13" s="21"/>
      <c r="C13" s="21"/>
    </row>
    <row r="14" customFormat="false" ht="15" hidden="false" customHeight="false" outlineLevel="0" collapsed="false">
      <c r="A14" s="21"/>
      <c r="B14" s="21"/>
      <c r="C14" s="21"/>
    </row>
    <row r="15" customFormat="false" ht="15" hidden="false" customHeight="false" outlineLevel="0" collapsed="false">
      <c r="A15" s="21"/>
      <c r="C15" s="21"/>
    </row>
    <row r="16" customFormat="false" ht="15" hidden="false" customHeight="false" outlineLevel="0" collapsed="false">
      <c r="A16" s="21"/>
      <c r="C16" s="21"/>
    </row>
    <row r="17" customFormat="false" ht="15" hidden="false" customHeight="false" outlineLevel="0" collapsed="false">
      <c r="C17" s="21"/>
    </row>
    <row r="18" customFormat="false" ht="15" hidden="false" customHeight="false" outlineLevel="0" collapsed="false">
      <c r="C18" s="21"/>
    </row>
    <row r="19" customFormat="false" ht="15" hidden="false" customHeight="false" outlineLevel="0" collapsed="false">
      <c r="C19" s="21"/>
    </row>
    <row r="20" customFormat="false" ht="15" hidden="false" customHeight="false" outlineLevel="0" collapsed="false">
      <c r="C20" s="21"/>
    </row>
    <row r="21" customFormat="false" ht="15" hidden="false" customHeight="false" outlineLevel="0" collapsed="false">
      <c r="C21" s="21"/>
    </row>
    <row r="22" customFormat="false" ht="15" hidden="false" customHeight="false" outlineLevel="0" collapsed="false">
      <c r="C22" s="21"/>
    </row>
    <row r="23" customFormat="false" ht="15" hidden="false" customHeight="false" outlineLevel="0" collapsed="false">
      <c r="C23" s="21"/>
    </row>
    <row r="24" customFormat="false" ht="15" hidden="false" customHeight="false" outlineLevel="0" collapsed="false">
      <c r="C24" s="21"/>
    </row>
    <row r="25" customFormat="false" ht="15" hidden="false" customHeight="false" outlineLevel="0" collapsed="false">
      <c r="C25" s="21"/>
    </row>
    <row r="26" customFormat="false" ht="15" hidden="false" customHeight="false" outlineLevel="0" collapsed="false">
      <c r="C26" s="21"/>
    </row>
    <row r="27" customFormat="false" ht="15" hidden="false" customHeight="false" outlineLevel="0" collapsed="false">
      <c r="C27" s="21"/>
    </row>
    <row r="28" customFormat="false" ht="15" hidden="false" customHeight="false" outlineLevel="0" collapsed="false">
      <c r="C28" s="21"/>
    </row>
    <row r="29" customFormat="false" ht="15" hidden="false" customHeight="false" outlineLevel="0" collapsed="false">
      <c r="C29" s="21"/>
    </row>
    <row r="30" customFormat="false" ht="15" hidden="false" customHeight="false" outlineLevel="0" collapsed="false">
      <c r="C30" s="21"/>
    </row>
    <row r="31" customFormat="false" ht="15" hidden="false" customHeight="false" outlineLevel="0" collapsed="false">
      <c r="C31" s="21"/>
    </row>
    <row r="32" customFormat="false" ht="15" hidden="false" customHeight="false" outlineLevel="0" collapsed="false">
      <c r="C32" s="21"/>
    </row>
    <row r="33" customFormat="false" ht="15" hidden="false" customHeight="false" outlineLevel="0" collapsed="false">
      <c r="C33" s="21"/>
    </row>
    <row r="34" customFormat="false" ht="15" hidden="false" customHeight="false" outlineLevel="0" collapsed="false">
      <c r="C34" s="21"/>
    </row>
    <row r="35" customFormat="false" ht="15" hidden="false" customHeight="false" outlineLevel="0" collapsed="false">
      <c r="C35" s="21"/>
    </row>
    <row r="36" customFormat="false" ht="15" hidden="false" customHeight="false" outlineLevel="0" collapsed="false">
      <c r="C36" s="21"/>
    </row>
    <row r="37" customFormat="false" ht="15" hidden="false" customHeight="false" outlineLevel="0" collapsed="false">
      <c r="C37" s="21"/>
    </row>
    <row r="38" customFormat="false" ht="15" hidden="false" customHeight="false" outlineLevel="0" collapsed="false">
      <c r="C38" s="21"/>
    </row>
    <row r="39" customFormat="false" ht="15" hidden="false" customHeight="false" outlineLevel="0" collapsed="false">
      <c r="C39" s="21"/>
    </row>
    <row r="40" customFormat="false" ht="15" hidden="false" customHeight="false" outlineLevel="0" collapsed="false">
      <c r="C40" s="21"/>
    </row>
    <row r="41" customFormat="false" ht="15" hidden="false" customHeight="false" outlineLevel="0" collapsed="false">
      <c r="C41" s="21"/>
    </row>
    <row r="42" customFormat="false" ht="15" hidden="false" customHeight="false" outlineLevel="0" collapsed="false">
      <c r="C42" s="21"/>
    </row>
    <row r="43" customFormat="false" ht="15" hidden="false" customHeight="false" outlineLevel="0" collapsed="false">
      <c r="C43" s="21"/>
    </row>
    <row r="44" customFormat="false" ht="15" hidden="false" customHeight="false" outlineLevel="0" collapsed="false">
      <c r="C44"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2026-10-27T11:47:35Z</dcterms:created>
  <dc:creator>openpyxl</dc:creator>
  <dc:description/>
  <dc:language>en-US</dc:language>
  <cp:lastModifiedBy/>
  <dcterms:modified xsi:type="dcterms:W3CDTF">2026-10-27T11:47:35Z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